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7594025b5fbe9f/Documents/"/>
    </mc:Choice>
  </mc:AlternateContent>
  <xr:revisionPtr revIDLastSave="707" documentId="8_{2442E8B2-C08C-4BE3-809C-BD20936AC2D9}" xr6:coauthVersionLast="47" xr6:coauthVersionMax="47" xr10:uidLastSave="{673E234B-05C0-485C-91A6-6A30BD737BFE}"/>
  <bookViews>
    <workbookView xWindow="-108" yWindow="-108" windowWidth="23256" windowHeight="12456" firstSheet="1" activeTab="2" xr2:uid="{3B5E90E7-249A-4A79-9E23-8897436AC4B9}"/>
  </bookViews>
  <sheets>
    <sheet name="Room_Dataset" sheetId="6" r:id="rId1"/>
    <sheet name="Booking_Dataset_Fact_Table " sheetId="11" r:id="rId2"/>
    <sheet name="Payment_Dataset" sheetId="9" r:id="rId3"/>
    <sheet name="Employee_Dataset" sheetId="4" r:id="rId4"/>
    <sheet name="Customer_Dataset" sheetId="3" r:id="rId5"/>
  </sheets>
  <definedNames>
    <definedName name="ExternalData_2" localSheetId="4" hidden="1">'Customer_Dataset'!$A$1:$G$1831</definedName>
    <definedName name="ExternalData_3" localSheetId="3" hidden="1">Employee_Dataset!$A$1:$L$145</definedName>
    <definedName name="ExternalData_5" localSheetId="2" hidden="1">Payment_Dataset!$A$1:$M$607</definedName>
    <definedName name="ExternalData_5" localSheetId="0" hidden="1">'Room_Dataset'!$A$1:$L$85</definedName>
    <definedName name="ExternalData_7" localSheetId="1" hidden="1">'Booking_Dataset_Fact_Table '!$A$1:$K$751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9" l="1"/>
  <c r="Q25" i="9"/>
  <c r="Q26" i="9"/>
  <c r="Q27" i="9"/>
  <c r="Q28" i="9"/>
  <c r="Q17" i="9"/>
  <c r="Q18" i="9"/>
  <c r="Q19" i="9"/>
  <c r="Q20" i="9"/>
  <c r="Q21" i="9"/>
  <c r="Q22" i="9"/>
  <c r="Q23" i="9"/>
  <c r="Q16" i="9"/>
  <c r="G3" i="9"/>
  <c r="H3" i="9" s="1"/>
  <c r="G4" i="9"/>
  <c r="H4" i="9" s="1"/>
  <c r="G5" i="9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2" i="9"/>
  <c r="H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G42" i="9"/>
  <c r="H42" i="9" s="1"/>
  <c r="G43" i="9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G51" i="9"/>
  <c r="G52" i="9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G87" i="9"/>
  <c r="H87" i="9" s="1"/>
  <c r="G88" i="9"/>
  <c r="G89" i="9"/>
  <c r="G90" i="9"/>
  <c r="H90" i="9" s="1"/>
  <c r="G91" i="9"/>
  <c r="H91" i="9" s="1"/>
  <c r="G92" i="9"/>
  <c r="H92" i="9" s="1"/>
  <c r="G93" i="9"/>
  <c r="H93" i="9" s="1"/>
  <c r="G94" i="9"/>
  <c r="H94" i="9" s="1"/>
  <c r="G95" i="9"/>
  <c r="H95" i="9" s="1"/>
  <c r="G96" i="9"/>
  <c r="H96" i="9" s="1"/>
  <c r="G97" i="9"/>
  <c r="H97" i="9" s="1"/>
  <c r="G98" i="9"/>
  <c r="H98" i="9" s="1"/>
  <c r="G99" i="9"/>
  <c r="H99" i="9" s="1"/>
  <c r="G100" i="9"/>
  <c r="G101" i="9"/>
  <c r="H101" i="9" s="1"/>
  <c r="G102" i="9"/>
  <c r="H102" i="9" s="1"/>
  <c r="G103" i="9"/>
  <c r="H103" i="9" s="1"/>
  <c r="G104" i="9"/>
  <c r="H104" i="9" s="1"/>
  <c r="G105" i="9"/>
  <c r="H105" i="9" s="1"/>
  <c r="G106" i="9"/>
  <c r="H106" i="9" s="1"/>
  <c r="G107" i="9"/>
  <c r="H107" i="9" s="1"/>
  <c r="G108" i="9"/>
  <c r="H108" i="9" s="1"/>
  <c r="G109" i="9"/>
  <c r="H109" i="9" s="1"/>
  <c r="G110" i="9"/>
  <c r="G111" i="9"/>
  <c r="H111" i="9" s="1"/>
  <c r="G112" i="9"/>
  <c r="H112" i="9" s="1"/>
  <c r="G113" i="9"/>
  <c r="H113" i="9" s="1"/>
  <c r="G114" i="9"/>
  <c r="H114" i="9" s="1"/>
  <c r="G115" i="9"/>
  <c r="H115" i="9" s="1"/>
  <c r="G116" i="9"/>
  <c r="H116" i="9" s="1"/>
  <c r="G117" i="9"/>
  <c r="H117" i="9" s="1"/>
  <c r="G118" i="9"/>
  <c r="H118" i="9" s="1"/>
  <c r="G119" i="9"/>
  <c r="H119" i="9" s="1"/>
  <c r="G120" i="9"/>
  <c r="H120" i="9" s="1"/>
  <c r="G121" i="9"/>
  <c r="H121" i="9" s="1"/>
  <c r="G122" i="9"/>
  <c r="H122" i="9" s="1"/>
  <c r="G123" i="9"/>
  <c r="H123" i="9" s="1"/>
  <c r="G124" i="9"/>
  <c r="H124" i="9" s="1"/>
  <c r="G125" i="9"/>
  <c r="H125" i="9" s="1"/>
  <c r="G126" i="9"/>
  <c r="H126" i="9" s="1"/>
  <c r="G127" i="9"/>
  <c r="H127" i="9" s="1"/>
  <c r="G128" i="9"/>
  <c r="H128" i="9" s="1"/>
  <c r="G129" i="9"/>
  <c r="H129" i="9" s="1"/>
  <c r="G130" i="9"/>
  <c r="H130" i="9" s="1"/>
  <c r="G131" i="9"/>
  <c r="H131" i="9" s="1"/>
  <c r="G132" i="9"/>
  <c r="H132" i="9" s="1"/>
  <c r="G133" i="9"/>
  <c r="H133" i="9" s="1"/>
  <c r="G134" i="9"/>
  <c r="H134" i="9" s="1"/>
  <c r="G135" i="9"/>
  <c r="H135" i="9" s="1"/>
  <c r="G136" i="9"/>
  <c r="G137" i="9"/>
  <c r="H137" i="9" s="1"/>
  <c r="G138" i="9"/>
  <c r="H138" i="9" s="1"/>
  <c r="G139" i="9"/>
  <c r="H139" i="9" s="1"/>
  <c r="G140" i="9"/>
  <c r="H140" i="9" s="1"/>
  <c r="G141" i="9"/>
  <c r="H141" i="9" s="1"/>
  <c r="G142" i="9"/>
  <c r="H142" i="9" s="1"/>
  <c r="G143" i="9"/>
  <c r="H143" i="9" s="1"/>
  <c r="G144" i="9"/>
  <c r="H144" i="9" s="1"/>
  <c r="G145" i="9"/>
  <c r="H145" i="9" s="1"/>
  <c r="G146" i="9"/>
  <c r="H146" i="9" s="1"/>
  <c r="G147" i="9"/>
  <c r="H147" i="9" s="1"/>
  <c r="G148" i="9"/>
  <c r="G149" i="9"/>
  <c r="G150" i="9"/>
  <c r="H150" i="9" s="1"/>
  <c r="G151" i="9"/>
  <c r="H151" i="9" s="1"/>
  <c r="G152" i="9"/>
  <c r="H152" i="9" s="1"/>
  <c r="G153" i="9"/>
  <c r="H153" i="9" s="1"/>
  <c r="G154" i="9"/>
  <c r="H154" i="9" s="1"/>
  <c r="G155" i="9"/>
  <c r="H155" i="9" s="1"/>
  <c r="G156" i="9"/>
  <c r="H156" i="9" s="1"/>
  <c r="G157" i="9"/>
  <c r="H157" i="9" s="1"/>
  <c r="G158" i="9"/>
  <c r="H158" i="9" s="1"/>
  <c r="G159" i="9"/>
  <c r="H159" i="9" s="1"/>
  <c r="G160" i="9"/>
  <c r="H160" i="9" s="1"/>
  <c r="G161" i="9"/>
  <c r="H161" i="9" s="1"/>
  <c r="G162" i="9"/>
  <c r="H162" i="9" s="1"/>
  <c r="G163" i="9"/>
  <c r="G164" i="9"/>
  <c r="H164" i="9" s="1"/>
  <c r="G165" i="9"/>
  <c r="H165" i="9" s="1"/>
  <c r="G166" i="9"/>
  <c r="H166" i="9" s="1"/>
  <c r="G167" i="9"/>
  <c r="H167" i="9" s="1"/>
  <c r="G168" i="9"/>
  <c r="H168" i="9" s="1"/>
  <c r="G169" i="9"/>
  <c r="H169" i="9" s="1"/>
  <c r="G170" i="9"/>
  <c r="G171" i="9"/>
  <c r="H171" i="9" s="1"/>
  <c r="G172" i="9"/>
  <c r="H172" i="9" s="1"/>
  <c r="G173" i="9"/>
  <c r="H173" i="9" s="1"/>
  <c r="G174" i="9"/>
  <c r="H174" i="9" s="1"/>
  <c r="G175" i="9"/>
  <c r="H175" i="9" s="1"/>
  <c r="G176" i="9"/>
  <c r="H176" i="9" s="1"/>
  <c r="G177" i="9"/>
  <c r="H177" i="9" s="1"/>
  <c r="G178" i="9"/>
  <c r="H178" i="9" s="1"/>
  <c r="G179" i="9"/>
  <c r="H179" i="9" s="1"/>
  <c r="G180" i="9"/>
  <c r="H180" i="9" s="1"/>
  <c r="G181" i="9"/>
  <c r="H181" i="9" s="1"/>
  <c r="G182" i="9"/>
  <c r="H182" i="9" s="1"/>
  <c r="G183" i="9"/>
  <c r="H183" i="9" s="1"/>
  <c r="G184" i="9"/>
  <c r="G185" i="9"/>
  <c r="G186" i="9"/>
  <c r="H186" i="9" s="1"/>
  <c r="G187" i="9"/>
  <c r="H187" i="9" s="1"/>
  <c r="G188" i="9"/>
  <c r="H188" i="9" s="1"/>
  <c r="G189" i="9"/>
  <c r="H189" i="9" s="1"/>
  <c r="G190" i="9"/>
  <c r="H190" i="9" s="1"/>
  <c r="G191" i="9"/>
  <c r="H191" i="9" s="1"/>
  <c r="G192" i="9"/>
  <c r="H192" i="9" s="1"/>
  <c r="G193" i="9"/>
  <c r="H193" i="9" s="1"/>
  <c r="G194" i="9"/>
  <c r="H194" i="9" s="1"/>
  <c r="G195" i="9"/>
  <c r="H195" i="9" s="1"/>
  <c r="G196" i="9"/>
  <c r="H196" i="9" s="1"/>
  <c r="G197" i="9"/>
  <c r="H197" i="9" s="1"/>
  <c r="G198" i="9"/>
  <c r="H198" i="9" s="1"/>
  <c r="G199" i="9"/>
  <c r="H199" i="9" s="1"/>
  <c r="G200" i="9"/>
  <c r="H200" i="9" s="1"/>
  <c r="G201" i="9"/>
  <c r="H201" i="9" s="1"/>
  <c r="G202" i="9"/>
  <c r="H202" i="9" s="1"/>
  <c r="G203" i="9"/>
  <c r="H203" i="9" s="1"/>
  <c r="G204" i="9"/>
  <c r="H204" i="9" s="1"/>
  <c r="G205" i="9"/>
  <c r="H205" i="9" s="1"/>
  <c r="G206" i="9"/>
  <c r="H206" i="9" s="1"/>
  <c r="G207" i="9"/>
  <c r="H207" i="9" s="1"/>
  <c r="G208" i="9"/>
  <c r="H208" i="9" s="1"/>
  <c r="G209" i="9"/>
  <c r="H209" i="9" s="1"/>
  <c r="G210" i="9"/>
  <c r="H210" i="9" s="1"/>
  <c r="G211" i="9"/>
  <c r="H211" i="9" s="1"/>
  <c r="G212" i="9"/>
  <c r="H212" i="9" s="1"/>
  <c r="G213" i="9"/>
  <c r="H213" i="9" s="1"/>
  <c r="G214" i="9"/>
  <c r="H214" i="9" s="1"/>
  <c r="G215" i="9"/>
  <c r="H215" i="9" s="1"/>
  <c r="G216" i="9"/>
  <c r="H216" i="9" s="1"/>
  <c r="G217" i="9"/>
  <c r="H217" i="9" s="1"/>
  <c r="G218" i="9"/>
  <c r="H218" i="9" s="1"/>
  <c r="G219" i="9"/>
  <c r="H219" i="9" s="1"/>
  <c r="G220" i="9"/>
  <c r="G221" i="9"/>
  <c r="G222" i="9"/>
  <c r="H222" i="9" s="1"/>
  <c r="G223" i="9"/>
  <c r="H223" i="9" s="1"/>
  <c r="G224" i="9"/>
  <c r="H224" i="9" s="1"/>
  <c r="G225" i="9"/>
  <c r="H225" i="9" s="1"/>
  <c r="G226" i="9"/>
  <c r="H226" i="9" s="1"/>
  <c r="G227" i="9"/>
  <c r="H227" i="9" s="1"/>
  <c r="G228" i="9"/>
  <c r="H228" i="9" s="1"/>
  <c r="G229" i="9"/>
  <c r="H229" i="9" s="1"/>
  <c r="G230" i="9"/>
  <c r="G231" i="9"/>
  <c r="H231" i="9" s="1"/>
  <c r="G232" i="9"/>
  <c r="H232" i="9" s="1"/>
  <c r="G233" i="9"/>
  <c r="H233" i="9" s="1"/>
  <c r="G234" i="9"/>
  <c r="H234" i="9" s="1"/>
  <c r="G235" i="9"/>
  <c r="H235" i="9" s="1"/>
  <c r="G236" i="9"/>
  <c r="H236" i="9" s="1"/>
  <c r="G237" i="9"/>
  <c r="H237" i="9" s="1"/>
  <c r="G238" i="9"/>
  <c r="H238" i="9" s="1"/>
  <c r="G239" i="9"/>
  <c r="H239" i="9" s="1"/>
  <c r="G240" i="9"/>
  <c r="H240" i="9" s="1"/>
  <c r="G241" i="9"/>
  <c r="H241" i="9" s="1"/>
  <c r="G242" i="9"/>
  <c r="H242" i="9" s="1"/>
  <c r="G243" i="9"/>
  <c r="H243" i="9" s="1"/>
  <c r="G244" i="9"/>
  <c r="H244" i="9" s="1"/>
  <c r="G245" i="9"/>
  <c r="H245" i="9" s="1"/>
  <c r="G246" i="9"/>
  <c r="H246" i="9" s="1"/>
  <c r="G247" i="9"/>
  <c r="G248" i="9"/>
  <c r="H248" i="9" s="1"/>
  <c r="G249" i="9"/>
  <c r="H249" i="9" s="1"/>
  <c r="G250" i="9"/>
  <c r="H250" i="9" s="1"/>
  <c r="G251" i="9"/>
  <c r="H251" i="9" s="1"/>
  <c r="G252" i="9"/>
  <c r="H252" i="9" s="1"/>
  <c r="G253" i="9"/>
  <c r="H253" i="9" s="1"/>
  <c r="G254" i="9"/>
  <c r="H254" i="9" s="1"/>
  <c r="G255" i="9"/>
  <c r="H255" i="9" s="1"/>
  <c r="G256" i="9"/>
  <c r="H256" i="9" s="1"/>
  <c r="G257" i="9"/>
  <c r="H257" i="9" s="1"/>
  <c r="G258" i="9"/>
  <c r="H258" i="9" s="1"/>
  <c r="G259" i="9"/>
  <c r="H259" i="9" s="1"/>
  <c r="G260" i="9"/>
  <c r="H260" i="9" s="1"/>
  <c r="G261" i="9"/>
  <c r="H261" i="9" s="1"/>
  <c r="G262" i="9"/>
  <c r="H262" i="9" s="1"/>
  <c r="G263" i="9"/>
  <c r="H263" i="9" s="1"/>
  <c r="G264" i="9"/>
  <c r="H264" i="9" s="1"/>
  <c r="G265" i="9"/>
  <c r="H265" i="9" s="1"/>
  <c r="G266" i="9"/>
  <c r="H266" i="9" s="1"/>
  <c r="G267" i="9"/>
  <c r="H267" i="9" s="1"/>
  <c r="G268" i="9"/>
  <c r="H268" i="9" s="1"/>
  <c r="G269" i="9"/>
  <c r="H269" i="9" s="1"/>
  <c r="G270" i="9"/>
  <c r="H270" i="9" s="1"/>
  <c r="G271" i="9"/>
  <c r="H271" i="9" s="1"/>
  <c r="G272" i="9"/>
  <c r="H272" i="9" s="1"/>
  <c r="G273" i="9"/>
  <c r="H273" i="9" s="1"/>
  <c r="G274" i="9"/>
  <c r="H274" i="9" s="1"/>
  <c r="G275" i="9"/>
  <c r="H275" i="9" s="1"/>
  <c r="G276" i="9"/>
  <c r="H276" i="9" s="1"/>
  <c r="G277" i="9"/>
  <c r="H277" i="9" s="1"/>
  <c r="G278" i="9"/>
  <c r="H278" i="9" s="1"/>
  <c r="G279" i="9"/>
  <c r="H279" i="9" s="1"/>
  <c r="G280" i="9"/>
  <c r="G281" i="9"/>
  <c r="G282" i="9"/>
  <c r="G283" i="9"/>
  <c r="H283" i="9" s="1"/>
  <c r="G284" i="9"/>
  <c r="H284" i="9" s="1"/>
  <c r="G285" i="9"/>
  <c r="H285" i="9" s="1"/>
  <c r="G286" i="9"/>
  <c r="H286" i="9" s="1"/>
  <c r="G287" i="9"/>
  <c r="H287" i="9" s="1"/>
  <c r="G288" i="9"/>
  <c r="H288" i="9" s="1"/>
  <c r="G289" i="9"/>
  <c r="H289" i="9" s="1"/>
  <c r="G290" i="9"/>
  <c r="G291" i="9"/>
  <c r="H291" i="9" s="1"/>
  <c r="G292" i="9"/>
  <c r="H292" i="9" s="1"/>
  <c r="G293" i="9"/>
  <c r="G294" i="9"/>
  <c r="H294" i="9" s="1"/>
  <c r="G295" i="9"/>
  <c r="H295" i="9" s="1"/>
  <c r="G296" i="9"/>
  <c r="H296" i="9" s="1"/>
  <c r="G297" i="9"/>
  <c r="H297" i="9" s="1"/>
  <c r="G298" i="9"/>
  <c r="H298" i="9" s="1"/>
  <c r="G299" i="9"/>
  <c r="H299" i="9" s="1"/>
  <c r="G300" i="9"/>
  <c r="H300" i="9" s="1"/>
  <c r="G301" i="9"/>
  <c r="H301" i="9" s="1"/>
  <c r="G302" i="9"/>
  <c r="H302" i="9" s="1"/>
  <c r="G303" i="9"/>
  <c r="H303" i="9" s="1"/>
  <c r="G304" i="9"/>
  <c r="H304" i="9" s="1"/>
  <c r="G305" i="9"/>
  <c r="H305" i="9" s="1"/>
  <c r="G306" i="9"/>
  <c r="H306" i="9" s="1"/>
  <c r="G307" i="9"/>
  <c r="H307" i="9" s="1"/>
  <c r="G308" i="9"/>
  <c r="H308" i="9" s="1"/>
  <c r="G309" i="9"/>
  <c r="H309" i="9" s="1"/>
  <c r="G310" i="9"/>
  <c r="H310" i="9" s="1"/>
  <c r="G311" i="9"/>
  <c r="H311" i="9" s="1"/>
  <c r="G312" i="9"/>
  <c r="H312" i="9" s="1"/>
  <c r="G313" i="9"/>
  <c r="H313" i="9" s="1"/>
  <c r="G314" i="9"/>
  <c r="H314" i="9" s="1"/>
  <c r="G315" i="9"/>
  <c r="H315" i="9" s="1"/>
  <c r="G316" i="9"/>
  <c r="G317" i="9"/>
  <c r="H317" i="9" s="1"/>
  <c r="G318" i="9"/>
  <c r="H318" i="9" s="1"/>
  <c r="G319" i="9"/>
  <c r="H319" i="9" s="1"/>
  <c r="G320" i="9"/>
  <c r="H320" i="9" s="1"/>
  <c r="G321" i="9"/>
  <c r="H321" i="9" s="1"/>
  <c r="G322" i="9"/>
  <c r="H322" i="9" s="1"/>
  <c r="G323" i="9"/>
  <c r="H323" i="9" s="1"/>
  <c r="G324" i="9"/>
  <c r="H324" i="9" s="1"/>
  <c r="G325" i="9"/>
  <c r="H325" i="9" s="1"/>
  <c r="G326" i="9"/>
  <c r="H326" i="9" s="1"/>
  <c r="G327" i="9"/>
  <c r="H327" i="9" s="1"/>
  <c r="G328" i="9"/>
  <c r="H328" i="9" s="1"/>
  <c r="G329" i="9"/>
  <c r="H329" i="9" s="1"/>
  <c r="G330" i="9"/>
  <c r="H330" i="9" s="1"/>
  <c r="G331" i="9"/>
  <c r="H331" i="9" s="1"/>
  <c r="G332" i="9"/>
  <c r="H332" i="9" s="1"/>
  <c r="G333" i="9"/>
  <c r="H333" i="9" s="1"/>
  <c r="G334" i="9"/>
  <c r="H334" i="9" s="1"/>
  <c r="G335" i="9"/>
  <c r="H335" i="9" s="1"/>
  <c r="G336" i="9"/>
  <c r="H336" i="9" s="1"/>
  <c r="G337" i="9"/>
  <c r="H337" i="9" s="1"/>
  <c r="G338" i="9"/>
  <c r="H338" i="9" s="1"/>
  <c r="G339" i="9"/>
  <c r="H339" i="9" s="1"/>
  <c r="G340" i="9"/>
  <c r="H340" i="9" s="1"/>
  <c r="G341" i="9"/>
  <c r="H341" i="9" s="1"/>
  <c r="G342" i="9"/>
  <c r="H342" i="9" s="1"/>
  <c r="G343" i="9"/>
  <c r="H343" i="9" s="1"/>
  <c r="G344" i="9"/>
  <c r="H344" i="9" s="1"/>
  <c r="G345" i="9"/>
  <c r="H345" i="9" s="1"/>
  <c r="G346" i="9"/>
  <c r="H346" i="9" s="1"/>
  <c r="G347" i="9"/>
  <c r="H347" i="9" s="1"/>
  <c r="G348" i="9"/>
  <c r="H348" i="9" s="1"/>
  <c r="G349" i="9"/>
  <c r="H349" i="9" s="1"/>
  <c r="G350" i="9"/>
  <c r="H350" i="9" s="1"/>
  <c r="G351" i="9"/>
  <c r="H351" i="9" s="1"/>
  <c r="G352" i="9"/>
  <c r="H352" i="9" s="1"/>
  <c r="G353" i="9"/>
  <c r="H353" i="9" s="1"/>
  <c r="G354" i="9"/>
  <c r="H354" i="9" s="1"/>
  <c r="G355" i="9"/>
  <c r="H355" i="9" s="1"/>
  <c r="G356" i="9"/>
  <c r="H356" i="9" s="1"/>
  <c r="G357" i="9"/>
  <c r="H357" i="9" s="1"/>
  <c r="G358" i="9"/>
  <c r="H358" i="9" s="1"/>
  <c r="G359" i="9"/>
  <c r="H359" i="9" s="1"/>
  <c r="G360" i="9"/>
  <c r="H360" i="9" s="1"/>
  <c r="G361" i="9"/>
  <c r="H361" i="9" s="1"/>
  <c r="G362" i="9"/>
  <c r="H362" i="9" s="1"/>
  <c r="G363" i="9"/>
  <c r="H363" i="9" s="1"/>
  <c r="G364" i="9"/>
  <c r="H364" i="9" s="1"/>
  <c r="G365" i="9"/>
  <c r="G366" i="9"/>
  <c r="H366" i="9" s="1"/>
  <c r="G367" i="9"/>
  <c r="H367" i="9" s="1"/>
  <c r="G368" i="9"/>
  <c r="H368" i="9" s="1"/>
  <c r="G369" i="9"/>
  <c r="H369" i="9" s="1"/>
  <c r="G370" i="9"/>
  <c r="H370" i="9" s="1"/>
  <c r="G371" i="9"/>
  <c r="H371" i="9" s="1"/>
  <c r="G372" i="9"/>
  <c r="H372" i="9" s="1"/>
  <c r="G373" i="9"/>
  <c r="H373" i="9" s="1"/>
  <c r="G374" i="9"/>
  <c r="H374" i="9" s="1"/>
  <c r="G375" i="9"/>
  <c r="H375" i="9" s="1"/>
  <c r="G376" i="9"/>
  <c r="H376" i="9" s="1"/>
  <c r="G377" i="9"/>
  <c r="H377" i="9" s="1"/>
  <c r="G378" i="9"/>
  <c r="H378" i="9" s="1"/>
  <c r="G379" i="9"/>
  <c r="H379" i="9" s="1"/>
  <c r="G380" i="9"/>
  <c r="H380" i="9" s="1"/>
  <c r="G381" i="9"/>
  <c r="H381" i="9" s="1"/>
  <c r="G382" i="9"/>
  <c r="H382" i="9" s="1"/>
  <c r="G383" i="9"/>
  <c r="H383" i="9" s="1"/>
  <c r="G384" i="9"/>
  <c r="H384" i="9" s="1"/>
  <c r="G385" i="9"/>
  <c r="H385" i="9" s="1"/>
  <c r="G386" i="9"/>
  <c r="H386" i="9" s="1"/>
  <c r="G387" i="9"/>
  <c r="H387" i="9" s="1"/>
  <c r="G388" i="9"/>
  <c r="H388" i="9" s="1"/>
  <c r="G389" i="9"/>
  <c r="H389" i="9" s="1"/>
  <c r="G390" i="9"/>
  <c r="H390" i="9" s="1"/>
  <c r="G391" i="9"/>
  <c r="H391" i="9" s="1"/>
  <c r="G392" i="9"/>
  <c r="H392" i="9" s="1"/>
  <c r="G393" i="9"/>
  <c r="H393" i="9" s="1"/>
  <c r="G394" i="9"/>
  <c r="H394" i="9" s="1"/>
  <c r="G395" i="9"/>
  <c r="H395" i="9" s="1"/>
  <c r="G396" i="9"/>
  <c r="H396" i="9" s="1"/>
  <c r="G397" i="9"/>
  <c r="H397" i="9" s="1"/>
  <c r="G398" i="9"/>
  <c r="H398" i="9" s="1"/>
  <c r="G399" i="9"/>
  <c r="H399" i="9" s="1"/>
  <c r="G400" i="9"/>
  <c r="H400" i="9" s="1"/>
  <c r="G401" i="9"/>
  <c r="H401" i="9" s="1"/>
  <c r="G402" i="9"/>
  <c r="H402" i="9" s="1"/>
  <c r="G403" i="9"/>
  <c r="H403" i="9" s="1"/>
  <c r="G404" i="9"/>
  <c r="H404" i="9" s="1"/>
  <c r="G405" i="9"/>
  <c r="H405" i="9" s="1"/>
  <c r="G406" i="9"/>
  <c r="H406" i="9" s="1"/>
  <c r="G407" i="9"/>
  <c r="H407" i="9" s="1"/>
  <c r="G408" i="9"/>
  <c r="H408" i="9" s="1"/>
  <c r="G409" i="9"/>
  <c r="H409" i="9" s="1"/>
  <c r="G410" i="9"/>
  <c r="H410" i="9" s="1"/>
  <c r="G411" i="9"/>
  <c r="H411" i="9" s="1"/>
  <c r="G412" i="9"/>
  <c r="H412" i="9" s="1"/>
  <c r="G413" i="9"/>
  <c r="H413" i="9" s="1"/>
  <c r="G414" i="9"/>
  <c r="H414" i="9" s="1"/>
  <c r="G415" i="9"/>
  <c r="H415" i="9" s="1"/>
  <c r="G416" i="9"/>
  <c r="H416" i="9" s="1"/>
  <c r="G417" i="9"/>
  <c r="H417" i="9" s="1"/>
  <c r="G418" i="9"/>
  <c r="H418" i="9" s="1"/>
  <c r="G419" i="9"/>
  <c r="H419" i="9" s="1"/>
  <c r="G420" i="9"/>
  <c r="H420" i="9" s="1"/>
  <c r="G421" i="9"/>
  <c r="H421" i="9" s="1"/>
  <c r="G422" i="9"/>
  <c r="G423" i="9"/>
  <c r="H423" i="9" s="1"/>
  <c r="G424" i="9"/>
  <c r="H424" i="9" s="1"/>
  <c r="G425" i="9"/>
  <c r="H425" i="9" s="1"/>
  <c r="G426" i="9"/>
  <c r="G427" i="9"/>
  <c r="H427" i="9" s="1"/>
  <c r="G428" i="9"/>
  <c r="H428" i="9" s="1"/>
  <c r="G429" i="9"/>
  <c r="H429" i="9" s="1"/>
  <c r="G430" i="9"/>
  <c r="H430" i="9" s="1"/>
  <c r="G431" i="9"/>
  <c r="H431" i="9" s="1"/>
  <c r="G432" i="9"/>
  <c r="H432" i="9" s="1"/>
  <c r="G433" i="9"/>
  <c r="H433" i="9" s="1"/>
  <c r="G434" i="9"/>
  <c r="H434" i="9" s="1"/>
  <c r="G435" i="9"/>
  <c r="H435" i="9" s="1"/>
  <c r="G436" i="9"/>
  <c r="G437" i="9"/>
  <c r="H437" i="9" s="1"/>
  <c r="G438" i="9"/>
  <c r="H438" i="9" s="1"/>
  <c r="G439" i="9"/>
  <c r="H439" i="9" s="1"/>
  <c r="G440" i="9"/>
  <c r="H440" i="9" s="1"/>
  <c r="G441" i="9"/>
  <c r="H441" i="9" s="1"/>
  <c r="G442" i="9"/>
  <c r="H442" i="9" s="1"/>
  <c r="G443" i="9"/>
  <c r="H443" i="9" s="1"/>
  <c r="G444" i="9"/>
  <c r="H444" i="9" s="1"/>
  <c r="G445" i="9"/>
  <c r="H445" i="9" s="1"/>
  <c r="G446" i="9"/>
  <c r="H446" i="9" s="1"/>
  <c r="G447" i="9"/>
  <c r="H447" i="9" s="1"/>
  <c r="G448" i="9"/>
  <c r="H448" i="9" s="1"/>
  <c r="G449" i="9"/>
  <c r="H449" i="9" s="1"/>
  <c r="G450" i="9"/>
  <c r="H450" i="9" s="1"/>
  <c r="G451" i="9"/>
  <c r="H451" i="9" s="1"/>
  <c r="G452" i="9"/>
  <c r="H452" i="9" s="1"/>
  <c r="G453" i="9"/>
  <c r="H453" i="9" s="1"/>
  <c r="G454" i="9"/>
  <c r="H454" i="9" s="1"/>
  <c r="G455" i="9"/>
  <c r="H455" i="9" s="1"/>
  <c r="G456" i="9"/>
  <c r="H456" i="9" s="1"/>
  <c r="G457" i="9"/>
  <c r="H457" i="9" s="1"/>
  <c r="G458" i="9"/>
  <c r="H458" i="9" s="1"/>
  <c r="G459" i="9"/>
  <c r="H459" i="9" s="1"/>
  <c r="G460" i="9"/>
  <c r="H460" i="9" s="1"/>
  <c r="G461" i="9"/>
  <c r="G462" i="9"/>
  <c r="H462" i="9" s="1"/>
  <c r="G463" i="9"/>
  <c r="H463" i="9" s="1"/>
  <c r="G464" i="9"/>
  <c r="H464" i="9" s="1"/>
  <c r="G465" i="9"/>
  <c r="H465" i="9" s="1"/>
  <c r="G466" i="9"/>
  <c r="H466" i="9" s="1"/>
  <c r="G467" i="9"/>
  <c r="H467" i="9" s="1"/>
  <c r="G468" i="9"/>
  <c r="H468" i="9" s="1"/>
  <c r="G469" i="9"/>
  <c r="H469" i="9" s="1"/>
  <c r="G470" i="9"/>
  <c r="H470" i="9" s="1"/>
  <c r="G471" i="9"/>
  <c r="H471" i="9" s="1"/>
  <c r="G472" i="9"/>
  <c r="H472" i="9" s="1"/>
  <c r="G473" i="9"/>
  <c r="H473" i="9" s="1"/>
  <c r="G474" i="9"/>
  <c r="H474" i="9" s="1"/>
  <c r="G475" i="9"/>
  <c r="H475" i="9" s="1"/>
  <c r="G476" i="9"/>
  <c r="H476" i="9" s="1"/>
  <c r="G477" i="9"/>
  <c r="H477" i="9" s="1"/>
  <c r="G478" i="9"/>
  <c r="H478" i="9" s="1"/>
  <c r="G479" i="9"/>
  <c r="H479" i="9" s="1"/>
  <c r="G480" i="9"/>
  <c r="H480" i="9" s="1"/>
  <c r="G481" i="9"/>
  <c r="H481" i="9" s="1"/>
  <c r="G482" i="9"/>
  <c r="H482" i="9" s="1"/>
  <c r="G483" i="9"/>
  <c r="H483" i="9" s="1"/>
  <c r="G484" i="9"/>
  <c r="H484" i="9" s="1"/>
  <c r="G485" i="9"/>
  <c r="H485" i="9" s="1"/>
  <c r="G486" i="9"/>
  <c r="H486" i="9" s="1"/>
  <c r="G487" i="9"/>
  <c r="H487" i="9" s="1"/>
  <c r="G488" i="9"/>
  <c r="H488" i="9" s="1"/>
  <c r="G489" i="9"/>
  <c r="H489" i="9" s="1"/>
  <c r="G490" i="9"/>
  <c r="H490" i="9" s="1"/>
  <c r="G491" i="9"/>
  <c r="H491" i="9" s="1"/>
  <c r="G492" i="9"/>
  <c r="H492" i="9" s="1"/>
  <c r="G493" i="9"/>
  <c r="H493" i="9" s="1"/>
  <c r="G494" i="9"/>
  <c r="H494" i="9" s="1"/>
  <c r="G495" i="9"/>
  <c r="H495" i="9" s="1"/>
  <c r="G496" i="9"/>
  <c r="H496" i="9" s="1"/>
  <c r="G497" i="9"/>
  <c r="H497" i="9" s="1"/>
  <c r="G498" i="9"/>
  <c r="H498" i="9" s="1"/>
  <c r="G499" i="9"/>
  <c r="H499" i="9" s="1"/>
  <c r="G500" i="9"/>
  <c r="H500" i="9" s="1"/>
  <c r="G501" i="9"/>
  <c r="H501" i="9" s="1"/>
  <c r="G502" i="9"/>
  <c r="H502" i="9" s="1"/>
  <c r="G503" i="9"/>
  <c r="H503" i="9" s="1"/>
  <c r="G504" i="9"/>
  <c r="H504" i="9" s="1"/>
  <c r="G505" i="9"/>
  <c r="H505" i="9" s="1"/>
  <c r="G506" i="9"/>
  <c r="H506" i="9" s="1"/>
  <c r="G507" i="9"/>
  <c r="H507" i="9" s="1"/>
  <c r="G508" i="9"/>
  <c r="H508" i="9" s="1"/>
  <c r="G509" i="9"/>
  <c r="H509" i="9" s="1"/>
  <c r="G510" i="9"/>
  <c r="H510" i="9" s="1"/>
  <c r="G511" i="9"/>
  <c r="H511" i="9" s="1"/>
  <c r="G512" i="9"/>
  <c r="H512" i="9" s="1"/>
  <c r="G513" i="9"/>
  <c r="H513" i="9" s="1"/>
  <c r="G514" i="9"/>
  <c r="H514" i="9" s="1"/>
  <c r="G515" i="9"/>
  <c r="H515" i="9" s="1"/>
  <c r="G516" i="9"/>
  <c r="H516" i="9" s="1"/>
  <c r="G517" i="9"/>
  <c r="H517" i="9" s="1"/>
  <c r="G518" i="9"/>
  <c r="H518" i="9" s="1"/>
  <c r="G519" i="9"/>
  <c r="H519" i="9" s="1"/>
  <c r="G520" i="9"/>
  <c r="H520" i="9" s="1"/>
  <c r="G521" i="9"/>
  <c r="H521" i="9" s="1"/>
  <c r="G522" i="9"/>
  <c r="H522" i="9" s="1"/>
  <c r="G523" i="9"/>
  <c r="H523" i="9" s="1"/>
  <c r="G524" i="9"/>
  <c r="H524" i="9" s="1"/>
  <c r="G525" i="9"/>
  <c r="H525" i="9" s="1"/>
  <c r="G526" i="9"/>
  <c r="H526" i="9" s="1"/>
  <c r="G527" i="9"/>
  <c r="H527" i="9" s="1"/>
  <c r="G528" i="9"/>
  <c r="H528" i="9" s="1"/>
  <c r="G529" i="9"/>
  <c r="H529" i="9" s="1"/>
  <c r="G530" i="9"/>
  <c r="H530" i="9" s="1"/>
  <c r="G531" i="9"/>
  <c r="H531" i="9" s="1"/>
  <c r="G532" i="9"/>
  <c r="H532" i="9" s="1"/>
  <c r="G533" i="9"/>
  <c r="H533" i="9" s="1"/>
  <c r="G534" i="9"/>
  <c r="G535" i="9"/>
  <c r="G536" i="9"/>
  <c r="H536" i="9" s="1"/>
  <c r="G537" i="9"/>
  <c r="H537" i="9" s="1"/>
  <c r="G538" i="9"/>
  <c r="H538" i="9" s="1"/>
  <c r="G539" i="9"/>
  <c r="H539" i="9" s="1"/>
  <c r="G540" i="9"/>
  <c r="H540" i="9" s="1"/>
  <c r="G541" i="9"/>
  <c r="H541" i="9" s="1"/>
  <c r="G542" i="9"/>
  <c r="H542" i="9" s="1"/>
  <c r="G543" i="9"/>
  <c r="H543" i="9" s="1"/>
  <c r="G544" i="9"/>
  <c r="H544" i="9" s="1"/>
  <c r="G545" i="9"/>
  <c r="H545" i="9" s="1"/>
  <c r="G546" i="9"/>
  <c r="H546" i="9" s="1"/>
  <c r="G547" i="9"/>
  <c r="H547" i="9" s="1"/>
  <c r="G548" i="9"/>
  <c r="H548" i="9" s="1"/>
  <c r="G549" i="9"/>
  <c r="H549" i="9" s="1"/>
  <c r="G550" i="9"/>
  <c r="H550" i="9" s="1"/>
  <c r="G551" i="9"/>
  <c r="H551" i="9" s="1"/>
  <c r="G552" i="9"/>
  <c r="H552" i="9" s="1"/>
  <c r="G553" i="9"/>
  <c r="H553" i="9" s="1"/>
  <c r="G554" i="9"/>
  <c r="H554" i="9" s="1"/>
  <c r="G555" i="9"/>
  <c r="H555" i="9" s="1"/>
  <c r="G556" i="9"/>
  <c r="H556" i="9" s="1"/>
  <c r="G557" i="9"/>
  <c r="H557" i="9" s="1"/>
  <c r="G558" i="9"/>
  <c r="H558" i="9" s="1"/>
  <c r="G559" i="9"/>
  <c r="H559" i="9" s="1"/>
  <c r="G560" i="9"/>
  <c r="H560" i="9" s="1"/>
  <c r="G561" i="9"/>
  <c r="H561" i="9" s="1"/>
  <c r="G562" i="9"/>
  <c r="H562" i="9" s="1"/>
  <c r="G563" i="9"/>
  <c r="H563" i="9" s="1"/>
  <c r="G564" i="9"/>
  <c r="H564" i="9" s="1"/>
  <c r="G565" i="9"/>
  <c r="H565" i="9" s="1"/>
  <c r="G566" i="9"/>
  <c r="H566" i="9" s="1"/>
  <c r="G567" i="9"/>
  <c r="H567" i="9" s="1"/>
  <c r="G568" i="9"/>
  <c r="H568" i="9" s="1"/>
  <c r="G569" i="9"/>
  <c r="H569" i="9" s="1"/>
  <c r="G570" i="9"/>
  <c r="H570" i="9" s="1"/>
  <c r="G571" i="9"/>
  <c r="H571" i="9" s="1"/>
  <c r="G572" i="9"/>
  <c r="H572" i="9" s="1"/>
  <c r="G573" i="9"/>
  <c r="H573" i="9" s="1"/>
  <c r="G574" i="9"/>
  <c r="H574" i="9" s="1"/>
  <c r="G575" i="9"/>
  <c r="H575" i="9" s="1"/>
  <c r="G576" i="9"/>
  <c r="H576" i="9" s="1"/>
  <c r="G577" i="9"/>
  <c r="H577" i="9" s="1"/>
  <c r="G578" i="9"/>
  <c r="H578" i="9" s="1"/>
  <c r="G579" i="9"/>
  <c r="H579" i="9" s="1"/>
  <c r="G580" i="9"/>
  <c r="H580" i="9" s="1"/>
  <c r="G581" i="9"/>
  <c r="H581" i="9" s="1"/>
  <c r="G582" i="9"/>
  <c r="H582" i="9" s="1"/>
  <c r="G583" i="9"/>
  <c r="H583" i="9" s="1"/>
  <c r="G584" i="9"/>
  <c r="H584" i="9" s="1"/>
  <c r="G585" i="9"/>
  <c r="H585" i="9" s="1"/>
  <c r="G586" i="9"/>
  <c r="H586" i="9" s="1"/>
  <c r="G587" i="9"/>
  <c r="H587" i="9" s="1"/>
  <c r="G588" i="9"/>
  <c r="H588" i="9" s="1"/>
  <c r="G589" i="9"/>
  <c r="H589" i="9" s="1"/>
  <c r="G590" i="9"/>
  <c r="H590" i="9" s="1"/>
  <c r="G591" i="9"/>
  <c r="H591" i="9" s="1"/>
  <c r="G592" i="9"/>
  <c r="H592" i="9" s="1"/>
  <c r="G593" i="9"/>
  <c r="H593" i="9" s="1"/>
  <c r="G594" i="9"/>
  <c r="H594" i="9" s="1"/>
  <c r="G595" i="9"/>
  <c r="H595" i="9" s="1"/>
  <c r="G596" i="9"/>
  <c r="H596" i="9" s="1"/>
  <c r="G597" i="9"/>
  <c r="H597" i="9" s="1"/>
  <c r="G598" i="9"/>
  <c r="H598" i="9" s="1"/>
  <c r="G599" i="9"/>
  <c r="H599" i="9" s="1"/>
  <c r="G600" i="9"/>
  <c r="H600" i="9" s="1"/>
  <c r="G601" i="9"/>
  <c r="H601" i="9" s="1"/>
  <c r="G602" i="9"/>
  <c r="H602" i="9" s="1"/>
  <c r="G603" i="9"/>
  <c r="H603" i="9" s="1"/>
  <c r="G604" i="9"/>
  <c r="H604" i="9" s="1"/>
  <c r="G605" i="9"/>
  <c r="H605" i="9" s="1"/>
  <c r="G606" i="9"/>
  <c r="H606" i="9" s="1"/>
  <c r="G607" i="9"/>
  <c r="H607" i="9" s="1"/>
  <c r="H19" i="9"/>
  <c r="H41" i="9"/>
  <c r="H43" i="9"/>
  <c r="H50" i="9"/>
  <c r="H51" i="9"/>
  <c r="H52" i="9"/>
  <c r="H88" i="9"/>
  <c r="H89" i="9"/>
  <c r="H100" i="9"/>
  <c r="H110" i="9"/>
  <c r="H136" i="9"/>
  <c r="H148" i="9"/>
  <c r="H149" i="9"/>
  <c r="H163" i="9"/>
  <c r="H170" i="9"/>
  <c r="H184" i="9"/>
  <c r="H185" i="9"/>
  <c r="H220" i="9"/>
  <c r="H221" i="9"/>
  <c r="H230" i="9"/>
  <c r="H247" i="9"/>
  <c r="H280" i="9"/>
  <c r="H281" i="9"/>
  <c r="H282" i="9"/>
  <c r="H290" i="9"/>
  <c r="H293" i="9"/>
  <c r="H316" i="9"/>
  <c r="H365" i="9"/>
  <c r="H422" i="9"/>
  <c r="H426" i="9"/>
  <c r="H436" i="9"/>
  <c r="H461" i="9"/>
  <c r="H534" i="9"/>
  <c r="H535" i="9"/>
  <c r="P1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EF160A-D8DA-442B-94BE-EB2DC3CBB7F6}" keepAlive="1" name="Query - Booking_Dataset_Fact_Table(1)" description="Connection to the 'Booking_Dataset_Fact_Table' query in the workbook." type="5" refreshedVersion="8" background="1" saveData="1">
    <dbPr connection="Provider=Microsoft.Mashup.OleDb.1;Data Source=$Workbook$;Location=Booking_Dataset_Fact_Table;Extended Properties=&quot;&quot;" command="SELECT * FROM [Booking_Dataset_Fact_Table]"/>
  </connection>
  <connection id="2" xr16:uid="{9A036D8E-20B1-4BCA-BEF9-E8B353506CFE}" keepAlive="1" name="Query - Customer_Dataset" description="Connection to the 'Customer_Dataset' query in the workbook." type="5" refreshedVersion="8" background="1" saveData="1">
    <dbPr connection="Provider=Microsoft.Mashup.OleDb.1;Data Source=$Workbook$;Location=Customer_Dataset;Extended Properties=&quot;&quot;" command="SELECT * FROM [Customer_Dataset]"/>
  </connection>
  <connection id="3" xr16:uid="{E1C210F8-B208-4188-8989-ED2D65AF5480}" keepAlive="1" name="Query - Employee_Dataset" description="Connection to the 'Employee_Dataset' query in the workbook." type="5" refreshedVersion="8" background="1" saveData="1">
    <dbPr connection="Provider=Microsoft.Mashup.OleDb.1;Data Source=$Workbook$;Location=Employee_Dataset;Extended Properties=&quot;&quot;" command="SELECT * FROM [Employee_Dataset]"/>
  </connection>
  <connection id="4" xr16:uid="{343093CF-A6CC-4930-8D1B-82E078D62644}" keepAlive="1" name="Query - Payment_Dataset" description="Connection to the 'Payment_Dataset' query in the workbook." type="5" refreshedVersion="8" background="1" saveData="1">
    <dbPr connection="Provider=Microsoft.Mashup.OleDb.1;Data Source=$Workbook$;Location=Payment_Dataset;Extended Properties=&quot;&quot;" command="SELECT * FROM [Payment_Dataset]"/>
  </connection>
  <connection id="5" xr16:uid="{83D8F683-3D57-4265-A512-E6855C6D79EA}" keepAlive="1" name="Query - Room_Dataset" description="Connection to the 'Room_Dataset' query in the workbook." type="5" refreshedVersion="8" background="1" saveData="1">
    <dbPr connection="Provider=Microsoft.Mashup.OleDb.1;Data Source=$Workbook$;Location=Room_Dataset;Extended Properties=&quot;&quot;" command="SELECT * FROM [Room_Dataset]"/>
  </connection>
</connections>
</file>

<file path=xl/sharedStrings.xml><?xml version="1.0" encoding="utf-8"?>
<sst xmlns="http://schemas.openxmlformats.org/spreadsheetml/2006/main" count="18951" uniqueCount="6191">
  <si>
    <t>Booking_ID</t>
  </si>
  <si>
    <t>Cust_ID</t>
  </si>
  <si>
    <t>Room_ID</t>
  </si>
  <si>
    <t>Emp_ID</t>
  </si>
  <si>
    <t>Booking_Date</t>
  </si>
  <si>
    <t>Checkin_Date</t>
  </si>
  <si>
    <t>Checkout_Date</t>
  </si>
  <si>
    <t>Booking_Status</t>
  </si>
  <si>
    <t>B0001</t>
  </si>
  <si>
    <t>CUST0428</t>
  </si>
  <si>
    <t>R011</t>
  </si>
  <si>
    <t>EMP076</t>
  </si>
  <si>
    <t>Confirmed</t>
  </si>
  <si>
    <t>B0002</t>
  </si>
  <si>
    <t>CUST1027</t>
  </si>
  <si>
    <t>R004</t>
  </si>
  <si>
    <t>B0003</t>
  </si>
  <si>
    <t>CUST1581</t>
  </si>
  <si>
    <t>R061</t>
  </si>
  <si>
    <t>EMP087</t>
  </si>
  <si>
    <t>B0004</t>
  </si>
  <si>
    <t>CUST0432</t>
  </si>
  <si>
    <t>R043</t>
  </si>
  <si>
    <t>B0005</t>
  </si>
  <si>
    <t>CUST1178</t>
  </si>
  <si>
    <t>R030</t>
  </si>
  <si>
    <t>EMP095</t>
  </si>
  <si>
    <t>B0006</t>
  </si>
  <si>
    <t>CUST1220</t>
  </si>
  <si>
    <t>R074</t>
  </si>
  <si>
    <t>B0007</t>
  </si>
  <si>
    <t>CUST0985</t>
  </si>
  <si>
    <t>R026</t>
  </si>
  <si>
    <t>EMP130</t>
  </si>
  <si>
    <t>B0008</t>
  </si>
  <si>
    <t>CUST0254</t>
  </si>
  <si>
    <t>R020</t>
  </si>
  <si>
    <t>EMP123</t>
  </si>
  <si>
    <t>Completed</t>
  </si>
  <si>
    <t>B0009</t>
  </si>
  <si>
    <t>CUST1034</t>
  </si>
  <si>
    <t>R002</t>
  </si>
  <si>
    <t>EMP143</t>
  </si>
  <si>
    <t>B0010</t>
  </si>
  <si>
    <t>CUST1607</t>
  </si>
  <si>
    <t>R039</t>
  </si>
  <si>
    <t>B0011</t>
  </si>
  <si>
    <t>CUST0989</t>
  </si>
  <si>
    <t>EMP060</t>
  </si>
  <si>
    <t>Checked-In</t>
  </si>
  <si>
    <t>B0012</t>
  </si>
  <si>
    <t>CUST1191</t>
  </si>
  <si>
    <t>B0013</t>
  </si>
  <si>
    <t>CUST0140</t>
  </si>
  <si>
    <t>R051</t>
  </si>
  <si>
    <t>B0014</t>
  </si>
  <si>
    <t>CUST0871</t>
  </si>
  <si>
    <t>R015</t>
  </si>
  <si>
    <t>EMP035</t>
  </si>
  <si>
    <t>B0015</t>
  </si>
  <si>
    <t>CUST0505</t>
  </si>
  <si>
    <t>R073</t>
  </si>
  <si>
    <t>B0016</t>
  </si>
  <si>
    <t>CUST1759</t>
  </si>
  <si>
    <t>R078</t>
  </si>
  <si>
    <t>B0017</t>
  </si>
  <si>
    <t>CUST1535</t>
  </si>
  <si>
    <t>R048</t>
  </si>
  <si>
    <t>B0018</t>
  </si>
  <si>
    <t>CUST1557</t>
  </si>
  <si>
    <t>R064</t>
  </si>
  <si>
    <t>B0019</t>
  </si>
  <si>
    <t>CUST1397</t>
  </si>
  <si>
    <t>R031</t>
  </si>
  <si>
    <t>B0020</t>
  </si>
  <si>
    <t>CUST0889</t>
  </si>
  <si>
    <t>Cancelled</t>
  </si>
  <si>
    <t>B0021</t>
  </si>
  <si>
    <t>CUST0226</t>
  </si>
  <si>
    <t>B0022</t>
  </si>
  <si>
    <t>CUST0392</t>
  </si>
  <si>
    <t>R071</t>
  </si>
  <si>
    <t>B0023</t>
  </si>
  <si>
    <t>CUST1164</t>
  </si>
  <si>
    <t>R017</t>
  </si>
  <si>
    <t>B0024</t>
  </si>
  <si>
    <t>CUST1381</t>
  </si>
  <si>
    <t>R025</t>
  </si>
  <si>
    <t>B0025</t>
  </si>
  <si>
    <t>CUST1323</t>
  </si>
  <si>
    <t>B0026</t>
  </si>
  <si>
    <t>CUST1799</t>
  </si>
  <si>
    <t>R010</t>
  </si>
  <si>
    <t>B0027</t>
  </si>
  <si>
    <t>CUST0941</t>
  </si>
  <si>
    <t>EMP049</t>
  </si>
  <si>
    <t>B0028</t>
  </si>
  <si>
    <t>CUST1639</t>
  </si>
  <si>
    <t>R055</t>
  </si>
  <si>
    <t>B0029</t>
  </si>
  <si>
    <t>CUST1084</t>
  </si>
  <si>
    <t>B0030</t>
  </si>
  <si>
    <t>CUST0283</t>
  </si>
  <si>
    <t>R027</t>
  </si>
  <si>
    <t>B0031</t>
  </si>
  <si>
    <t>CUST1569</t>
  </si>
  <si>
    <t>R046</t>
  </si>
  <si>
    <t>B0032</t>
  </si>
  <si>
    <t>CUST1541</t>
  </si>
  <si>
    <t>R034</t>
  </si>
  <si>
    <t>B0033</t>
  </si>
  <si>
    <t>CUST0033</t>
  </si>
  <si>
    <t>R067</t>
  </si>
  <si>
    <t>B0034</t>
  </si>
  <si>
    <t>CUST0426</t>
  </si>
  <si>
    <t>B0035</t>
  </si>
  <si>
    <t>CUST1526</t>
  </si>
  <si>
    <t>B0036</t>
  </si>
  <si>
    <t>CUST0581</t>
  </si>
  <si>
    <t>R018</t>
  </si>
  <si>
    <t>B0037</t>
  </si>
  <si>
    <t>CUST0444</t>
  </si>
  <si>
    <t>R072</t>
  </si>
  <si>
    <t>B0038</t>
  </si>
  <si>
    <t>CUST0034</t>
  </si>
  <si>
    <t>R003</t>
  </si>
  <si>
    <t>B0039</t>
  </si>
  <si>
    <t>CUST1228</t>
  </si>
  <si>
    <t>B0041</t>
  </si>
  <si>
    <t>CUST1152</t>
  </si>
  <si>
    <t>R009</t>
  </si>
  <si>
    <t>B0042</t>
  </si>
  <si>
    <t>CUST1008</t>
  </si>
  <si>
    <t>R069</t>
  </si>
  <si>
    <t>B0043</t>
  </si>
  <si>
    <t>CUST0777</t>
  </si>
  <si>
    <t>B0044</t>
  </si>
  <si>
    <t>CUST0715</t>
  </si>
  <si>
    <t>R006</t>
  </si>
  <si>
    <t>B0045</t>
  </si>
  <si>
    <t>CUST1295</t>
  </si>
  <si>
    <t>B0046</t>
  </si>
  <si>
    <t>CUST0150</t>
  </si>
  <si>
    <t>R083</t>
  </si>
  <si>
    <t>B0048</t>
  </si>
  <si>
    <t>CUST0109</t>
  </si>
  <si>
    <t>R050</t>
  </si>
  <si>
    <t>B0049</t>
  </si>
  <si>
    <t>CUST0056</t>
  </si>
  <si>
    <t>R049</t>
  </si>
  <si>
    <t>B0050</t>
  </si>
  <si>
    <t>CUST0296</t>
  </si>
  <si>
    <t>R024</t>
  </si>
  <si>
    <t>B0051</t>
  </si>
  <si>
    <t>CUST1263</t>
  </si>
  <si>
    <t>B0052</t>
  </si>
  <si>
    <t>CUST1231</t>
  </si>
  <si>
    <t>B0053</t>
  </si>
  <si>
    <t>CUST1679</t>
  </si>
  <si>
    <t>R016</t>
  </si>
  <si>
    <t>B0054</t>
  </si>
  <si>
    <t>CUST0949</t>
  </si>
  <si>
    <t>R081</t>
  </si>
  <si>
    <t>B0055</t>
  </si>
  <si>
    <t>CUST0453</t>
  </si>
  <si>
    <t>R041</t>
  </si>
  <si>
    <t>B0056</t>
  </si>
  <si>
    <t>CUST1508</t>
  </si>
  <si>
    <t>R066</t>
  </si>
  <si>
    <t>B0057</t>
  </si>
  <si>
    <t>CUST0155</t>
  </si>
  <si>
    <t>B0058</t>
  </si>
  <si>
    <t>CUST1335</t>
  </si>
  <si>
    <t>B0059</t>
  </si>
  <si>
    <t>CUST0018</t>
  </si>
  <si>
    <t>R059</t>
  </si>
  <si>
    <t>B0060</t>
  </si>
  <si>
    <t>CUST1623</t>
  </si>
  <si>
    <t>B0061</t>
  </si>
  <si>
    <t>CUST0497</t>
  </si>
  <si>
    <t>B0062</t>
  </si>
  <si>
    <t>CUST1147</t>
  </si>
  <si>
    <t>R029</t>
  </si>
  <si>
    <t>B0063</t>
  </si>
  <si>
    <t>CUST1265</t>
  </si>
  <si>
    <t>R084</t>
  </si>
  <si>
    <t>B0064</t>
  </si>
  <si>
    <t>CUST0857</t>
  </si>
  <si>
    <t>R032</t>
  </si>
  <si>
    <t>B0065</t>
  </si>
  <si>
    <t>CUST1010</t>
  </si>
  <si>
    <t>B0066</t>
  </si>
  <si>
    <t>CUST0596</t>
  </si>
  <si>
    <t>R057</t>
  </si>
  <si>
    <t>B0067</t>
  </si>
  <si>
    <t>CUST0512</t>
  </si>
  <si>
    <t>B0068</t>
  </si>
  <si>
    <t>CUST0403</t>
  </si>
  <si>
    <t>B0069</t>
  </si>
  <si>
    <t>CUST0285</t>
  </si>
  <si>
    <t>B0070</t>
  </si>
  <si>
    <t>CUST0136</t>
  </si>
  <si>
    <t>B0071</t>
  </si>
  <si>
    <t>CUST0464</t>
  </si>
  <si>
    <t>R060</t>
  </si>
  <si>
    <t>B0072</t>
  </si>
  <si>
    <t>CUST0984</t>
  </si>
  <si>
    <t>B0073</t>
  </si>
  <si>
    <t>CUST0209</t>
  </si>
  <si>
    <t>B0074</t>
  </si>
  <si>
    <t>CUST0802</t>
  </si>
  <si>
    <t>R058</t>
  </si>
  <si>
    <t>B0075</t>
  </si>
  <si>
    <t>CUST1012</t>
  </si>
  <si>
    <t>R070</t>
  </si>
  <si>
    <t>B0076</t>
  </si>
  <si>
    <t>CUST0357</t>
  </si>
  <si>
    <t>B0077</t>
  </si>
  <si>
    <t>CUST1579</t>
  </si>
  <si>
    <t>R028</t>
  </si>
  <si>
    <t>B0078</t>
  </si>
  <si>
    <t>CUST0738</t>
  </si>
  <si>
    <t>R080</t>
  </si>
  <si>
    <t>EMP032</t>
  </si>
  <si>
    <t>B0079</t>
  </si>
  <si>
    <t>CUST1829</t>
  </si>
  <si>
    <t>B0080</t>
  </si>
  <si>
    <t>CUST0405</t>
  </si>
  <si>
    <t>R075</t>
  </si>
  <si>
    <t>B0081</t>
  </si>
  <si>
    <t>CUST0975</t>
  </si>
  <si>
    <t>B0082</t>
  </si>
  <si>
    <t>CUST1416</t>
  </si>
  <si>
    <t>B0083</t>
  </si>
  <si>
    <t>CUST1404</t>
  </si>
  <si>
    <t>B0084</t>
  </si>
  <si>
    <t>CUST0139</t>
  </si>
  <si>
    <t>EMP144</t>
  </si>
  <si>
    <t>B0085</t>
  </si>
  <si>
    <t>CUST1691</t>
  </si>
  <si>
    <t>R038</t>
  </si>
  <si>
    <t>B0086</t>
  </si>
  <si>
    <t>CUST0637</t>
  </si>
  <si>
    <t>B0087</t>
  </si>
  <si>
    <t>CUST1410</t>
  </si>
  <si>
    <t>R054</t>
  </si>
  <si>
    <t>B0088</t>
  </si>
  <si>
    <t>CUST1756</t>
  </si>
  <si>
    <t>B0089</t>
  </si>
  <si>
    <t>CUST1821</t>
  </si>
  <si>
    <t>B0090</t>
  </si>
  <si>
    <t>CUST1828</t>
  </si>
  <si>
    <t>R022</t>
  </si>
  <si>
    <t>B0091</t>
  </si>
  <si>
    <t>CUST1009</t>
  </si>
  <si>
    <t>R021</t>
  </si>
  <si>
    <t>B0092</t>
  </si>
  <si>
    <t>CUST0263</t>
  </si>
  <si>
    <t>R079</t>
  </si>
  <si>
    <t>B0093</t>
  </si>
  <si>
    <t>CUST0563</t>
  </si>
  <si>
    <t>B0094</t>
  </si>
  <si>
    <t>CUST0052</t>
  </si>
  <si>
    <t>R063</t>
  </si>
  <si>
    <t>B0095</t>
  </si>
  <si>
    <t>CUST0782</t>
  </si>
  <si>
    <t>B0096</t>
  </si>
  <si>
    <t>CUST0293</t>
  </si>
  <si>
    <t>B0097</t>
  </si>
  <si>
    <t>CUST1096</t>
  </si>
  <si>
    <t>R007</t>
  </si>
  <si>
    <t>B0098</t>
  </si>
  <si>
    <t>CUST0287</t>
  </si>
  <si>
    <t>R044</t>
  </si>
  <si>
    <t>B0099</t>
  </si>
  <si>
    <t>CUST0398</t>
  </si>
  <si>
    <t>R033</t>
  </si>
  <si>
    <t>B0100</t>
  </si>
  <si>
    <t>CUST1035</t>
  </si>
  <si>
    <t>R052</t>
  </si>
  <si>
    <t>B0101</t>
  </si>
  <si>
    <t>CUST1435</t>
  </si>
  <si>
    <t>B0102</t>
  </si>
  <si>
    <t>CUST1311</t>
  </si>
  <si>
    <t>B0103</t>
  </si>
  <si>
    <t>CUST1608</t>
  </si>
  <si>
    <t>B0104</t>
  </si>
  <si>
    <t>CUST0054</t>
  </si>
  <si>
    <t>B0106</t>
  </si>
  <si>
    <t>CUST0986</t>
  </si>
  <si>
    <t>B0107</t>
  </si>
  <si>
    <t>CUST0347</t>
  </si>
  <si>
    <t>B0108</t>
  </si>
  <si>
    <t>CUST0361</t>
  </si>
  <si>
    <t>R023</t>
  </si>
  <si>
    <t>B0110</t>
  </si>
  <si>
    <t>CUST1235</t>
  </si>
  <si>
    <t>B0111</t>
  </si>
  <si>
    <t>CUST1050</t>
  </si>
  <si>
    <t>B0112</t>
  </si>
  <si>
    <t>CUST0146</t>
  </si>
  <si>
    <t>B0113</t>
  </si>
  <si>
    <t>CUST0654</t>
  </si>
  <si>
    <t>B0114</t>
  </si>
  <si>
    <t>CUST0533</t>
  </si>
  <si>
    <t>B0115</t>
  </si>
  <si>
    <t>CUST0441</t>
  </si>
  <si>
    <t>B0116</t>
  </si>
  <si>
    <t>CUST0028</t>
  </si>
  <si>
    <t>B0117</t>
  </si>
  <si>
    <t>CUST0172</t>
  </si>
  <si>
    <t>B0118</t>
  </si>
  <si>
    <t>CUST1088</t>
  </si>
  <si>
    <t>B0119</t>
  </si>
  <si>
    <t>CUST0365</t>
  </si>
  <si>
    <t>B0120</t>
  </si>
  <si>
    <t>CUST0822</t>
  </si>
  <si>
    <t>R008</t>
  </si>
  <si>
    <t>B0121</t>
  </si>
  <si>
    <t>CUST1380</t>
  </si>
  <si>
    <t>B0123</t>
  </si>
  <si>
    <t>CUST1297</t>
  </si>
  <si>
    <t>B0124</t>
  </si>
  <si>
    <t>CUST1434</t>
  </si>
  <si>
    <t>B0125</t>
  </si>
  <si>
    <t>CUST1428</t>
  </si>
  <si>
    <t>R019</t>
  </si>
  <si>
    <t>B0126</t>
  </si>
  <si>
    <t>CUST1652</t>
  </si>
  <si>
    <t>B0127</t>
  </si>
  <si>
    <t>CUST0624</t>
  </si>
  <si>
    <t>B0128</t>
  </si>
  <si>
    <t>CUST0038</t>
  </si>
  <si>
    <t>B0129</t>
  </si>
  <si>
    <t>CUST1577</t>
  </si>
  <si>
    <t>R047</t>
  </si>
  <si>
    <t>B0130</t>
  </si>
  <si>
    <t>CUST0124</t>
  </si>
  <si>
    <t>R005</t>
  </si>
  <si>
    <t>B0131</t>
  </si>
  <si>
    <t>CUST0467</t>
  </si>
  <si>
    <t>B0132</t>
  </si>
  <si>
    <t>CUST1472</t>
  </si>
  <si>
    <t>R045</t>
  </si>
  <si>
    <t>B0133</t>
  </si>
  <si>
    <t>CUST0740</t>
  </si>
  <si>
    <t>B0135</t>
  </si>
  <si>
    <t>CUST1506</t>
  </si>
  <si>
    <t>B0136</t>
  </si>
  <si>
    <t>CUST0096</t>
  </si>
  <si>
    <t>B0138</t>
  </si>
  <si>
    <t>CUST1624</t>
  </si>
  <si>
    <t>B0139</t>
  </si>
  <si>
    <t>CUST0971</t>
  </si>
  <si>
    <t>B0140</t>
  </si>
  <si>
    <t>CUST1032</t>
  </si>
  <si>
    <t>B0142</t>
  </si>
  <si>
    <t>CUST1249</t>
  </si>
  <si>
    <t>B0143</t>
  </si>
  <si>
    <t>CUST1162</t>
  </si>
  <si>
    <t>B0144</t>
  </si>
  <si>
    <t>CUST0936</t>
  </si>
  <si>
    <t>B0145</t>
  </si>
  <si>
    <t>CUST0021</t>
  </si>
  <si>
    <t>B0146</t>
  </si>
  <si>
    <t>CUST1360</t>
  </si>
  <si>
    <t>R056</t>
  </si>
  <si>
    <t>B0147</t>
  </si>
  <si>
    <t>CUST1573</t>
  </si>
  <si>
    <t>B0148</t>
  </si>
  <si>
    <t>CUST1068</t>
  </si>
  <si>
    <t>B0149</t>
  </si>
  <si>
    <t>CUST0095</t>
  </si>
  <si>
    <t>B0150</t>
  </si>
  <si>
    <t>CUST0895</t>
  </si>
  <si>
    <t>B0151</t>
  </si>
  <si>
    <t>CUST0385</t>
  </si>
  <si>
    <t>B0152</t>
  </si>
  <si>
    <t>CUST0386</t>
  </si>
  <si>
    <t>B0153</t>
  </si>
  <si>
    <t>CUST1036</t>
  </si>
  <si>
    <t>B0154</t>
  </si>
  <si>
    <t>CUST0267</t>
  </si>
  <si>
    <t>B0155</t>
  </si>
  <si>
    <t>CUST0644</t>
  </si>
  <si>
    <t>B0156</t>
  </si>
  <si>
    <t>CUST1616</t>
  </si>
  <si>
    <t>B0157</t>
  </si>
  <si>
    <t>CUST1789</t>
  </si>
  <si>
    <t>R001</t>
  </si>
  <si>
    <t>B0159</t>
  </si>
  <si>
    <t>CUST1052</t>
  </si>
  <si>
    <t>B0160</t>
  </si>
  <si>
    <t>CUST1077</t>
  </si>
  <si>
    <t>B0161</t>
  </si>
  <si>
    <t>CUST0923</t>
  </si>
  <si>
    <t>B0162</t>
  </si>
  <si>
    <t>CUST0401</t>
  </si>
  <si>
    <t>B0164</t>
  </si>
  <si>
    <t>CUST1237</t>
  </si>
  <si>
    <t>R062</t>
  </si>
  <si>
    <t>B0165</t>
  </si>
  <si>
    <t>CUST0448</t>
  </si>
  <si>
    <t>B0166</t>
  </si>
  <si>
    <t>CUST1389</t>
  </si>
  <si>
    <t>B0167</t>
  </si>
  <si>
    <t>CUST0183</t>
  </si>
  <si>
    <t>R036</t>
  </si>
  <si>
    <t>B0168</t>
  </si>
  <si>
    <t>CUST1356</t>
  </si>
  <si>
    <t>B0171</t>
  </si>
  <si>
    <t>CUST0661</t>
  </si>
  <si>
    <t>B0172</t>
  </si>
  <si>
    <t>CUST0040</t>
  </si>
  <si>
    <t>B0173</t>
  </si>
  <si>
    <t>CUST1454</t>
  </si>
  <si>
    <t>B0174</t>
  </si>
  <si>
    <t>CUST1209</t>
  </si>
  <si>
    <t>B0175</t>
  </si>
  <si>
    <t>CUST0189</t>
  </si>
  <si>
    <t>B0176</t>
  </si>
  <si>
    <t>CUST1111</t>
  </si>
  <si>
    <t>B0177</t>
  </si>
  <si>
    <t>CUST1017</t>
  </si>
  <si>
    <t>R065</t>
  </si>
  <si>
    <t>B0178</t>
  </si>
  <si>
    <t>CUST0368</t>
  </si>
  <si>
    <t>B0179</t>
  </si>
  <si>
    <t>CUST0640</t>
  </si>
  <si>
    <t>B0180</t>
  </si>
  <si>
    <t>CUST0483</t>
  </si>
  <si>
    <t>B0181</t>
  </si>
  <si>
    <t>CUST0514</t>
  </si>
  <si>
    <t>B0182</t>
  </si>
  <si>
    <t>CUST0269</t>
  </si>
  <si>
    <t>B0183</t>
  </si>
  <si>
    <t>CUST0241</t>
  </si>
  <si>
    <t>B0184</t>
  </si>
  <si>
    <t>CUST1682</t>
  </si>
  <si>
    <t>R053</t>
  </si>
  <si>
    <t>B0185</t>
  </si>
  <si>
    <t>CUST0451</t>
  </si>
  <si>
    <t>B0186</t>
  </si>
  <si>
    <t>CUST0253</t>
  </si>
  <si>
    <t>B0187</t>
  </si>
  <si>
    <t>CUST0443</t>
  </si>
  <si>
    <t>R037</t>
  </si>
  <si>
    <t>B0188</t>
  </si>
  <si>
    <t>CUST0852</t>
  </si>
  <si>
    <t>B0189</t>
  </si>
  <si>
    <t>CUST0502</t>
  </si>
  <si>
    <t>B0190</t>
  </si>
  <si>
    <t>CUST0612</t>
  </si>
  <si>
    <t>B0191</t>
  </si>
  <si>
    <t>CUST1222</t>
  </si>
  <si>
    <t>B0192</t>
  </si>
  <si>
    <t>CUST1022</t>
  </si>
  <si>
    <t>B0193</t>
  </si>
  <si>
    <t>CUST0608</t>
  </si>
  <si>
    <t>B0194</t>
  </si>
  <si>
    <t>CUST0750</t>
  </si>
  <si>
    <t>B0195</t>
  </si>
  <si>
    <t>CUST0181</t>
  </si>
  <si>
    <t>B0196</t>
  </si>
  <si>
    <t>CUST1177</t>
  </si>
  <si>
    <t>B0197</t>
  </si>
  <si>
    <t>CUST0501</t>
  </si>
  <si>
    <t>B0198</t>
  </si>
  <si>
    <t>CUST1606</t>
  </si>
  <si>
    <t>B0199</t>
  </si>
  <si>
    <t>CUST1395</t>
  </si>
  <si>
    <t>B0200</t>
  </si>
  <si>
    <t>CUST1817</t>
  </si>
  <si>
    <t>B0201</t>
  </si>
  <si>
    <t>CUST0179</t>
  </si>
  <si>
    <t>B0202</t>
  </si>
  <si>
    <t>CUST1531</t>
  </si>
  <si>
    <t>R082</t>
  </si>
  <si>
    <t>B0203</t>
  </si>
  <si>
    <t>CUST0510</t>
  </si>
  <si>
    <t>B0204</t>
  </si>
  <si>
    <t>CUST1549</t>
  </si>
  <si>
    <t>B0205</t>
  </si>
  <si>
    <t>CUST1419</t>
  </si>
  <si>
    <t>B0206</t>
  </si>
  <si>
    <t>CUST1090</t>
  </si>
  <si>
    <t>B0207</t>
  </si>
  <si>
    <t>CUST0262</t>
  </si>
  <si>
    <t>R014</t>
  </si>
  <si>
    <t>B0209</t>
  </si>
  <si>
    <t>CUST1119</t>
  </si>
  <si>
    <t>B0211</t>
  </si>
  <si>
    <t>CUST0126</t>
  </si>
  <si>
    <t>B0212</t>
  </si>
  <si>
    <t>CUST0031</t>
  </si>
  <si>
    <t>B0214</t>
  </si>
  <si>
    <t>CUST1351</t>
  </si>
  <si>
    <t>B0215</t>
  </si>
  <si>
    <t>CUST1216</t>
  </si>
  <si>
    <t>R013</t>
  </si>
  <si>
    <t>B0216</t>
  </si>
  <si>
    <t>CUST1417</t>
  </si>
  <si>
    <t>B0218</t>
  </si>
  <si>
    <t>CUST1365</t>
  </si>
  <si>
    <t>B0219</t>
  </si>
  <si>
    <t>CUST1387</t>
  </si>
  <si>
    <t>B0221</t>
  </si>
  <si>
    <t>CUST1640</t>
  </si>
  <si>
    <t>B0224</t>
  </si>
  <si>
    <t>CUST1330</t>
  </si>
  <si>
    <t>B0225</t>
  </si>
  <si>
    <t>CUST0340</t>
  </si>
  <si>
    <t>B0226</t>
  </si>
  <si>
    <t>CUST1170</t>
  </si>
  <si>
    <t>B0227</t>
  </si>
  <si>
    <t>CUST1110</t>
  </si>
  <si>
    <t>B0228</t>
  </si>
  <si>
    <t>CUST0808</t>
  </si>
  <si>
    <t>B0229</t>
  </si>
  <si>
    <t>CUST0773</t>
  </si>
  <si>
    <t>B0230</t>
  </si>
  <si>
    <t>CUST1504</t>
  </si>
  <si>
    <t>B0231</t>
  </si>
  <si>
    <t>CUST0524</t>
  </si>
  <si>
    <t>B0232</t>
  </si>
  <si>
    <t>CUST0727</t>
  </si>
  <si>
    <t>R035</t>
  </si>
  <si>
    <t>B0233</t>
  </si>
  <si>
    <t>CUST1418</t>
  </si>
  <si>
    <t>B0234</t>
  </si>
  <si>
    <t>CUST0338</t>
  </si>
  <si>
    <t>B0235</t>
  </si>
  <si>
    <t>CUST1256</t>
  </si>
  <si>
    <t>B0236</t>
  </si>
  <si>
    <t>CUST0110</t>
  </si>
  <si>
    <t>R076</t>
  </si>
  <si>
    <t>B0237</t>
  </si>
  <si>
    <t>CUST1741</t>
  </si>
  <si>
    <t>B0238</t>
  </si>
  <si>
    <t>CUST0316</t>
  </si>
  <si>
    <t>B0239</t>
  </si>
  <si>
    <t>CUST0212</t>
  </si>
  <si>
    <t>B0240</t>
  </si>
  <si>
    <t>CUST0998</t>
  </si>
  <si>
    <t>B0241</t>
  </si>
  <si>
    <t>CUST0749</t>
  </si>
  <si>
    <t>B0242</t>
  </si>
  <si>
    <t>CUST1298</t>
  </si>
  <si>
    <t>B0243</t>
  </si>
  <si>
    <t>CUST0625</t>
  </si>
  <si>
    <t>R077</t>
  </si>
  <si>
    <t>B0244</t>
  </si>
  <si>
    <t>CUST0006</t>
  </si>
  <si>
    <t>B0245</t>
  </si>
  <si>
    <t>CUST0864</t>
  </si>
  <si>
    <t>B0246</t>
  </si>
  <si>
    <t>CUST0026</t>
  </si>
  <si>
    <t>B0247</t>
  </si>
  <si>
    <t>CUST0766</t>
  </si>
  <si>
    <t>B0248</t>
  </si>
  <si>
    <t>CUST0359</t>
  </si>
  <si>
    <t>B0249</t>
  </si>
  <si>
    <t>CUST0675</t>
  </si>
  <si>
    <t>B0250</t>
  </si>
  <si>
    <t>CUST0234</t>
  </si>
  <si>
    <t>B0251</t>
  </si>
  <si>
    <t>CUST1262</t>
  </si>
  <si>
    <t>B0252</t>
  </si>
  <si>
    <t>CUST1802</t>
  </si>
  <si>
    <t>B0253</t>
  </si>
  <si>
    <t>CUST0064</t>
  </si>
  <si>
    <t>B0254</t>
  </si>
  <si>
    <t>CUST1627</t>
  </si>
  <si>
    <t>B0256</t>
  </si>
  <si>
    <t>CUST0900</t>
  </si>
  <si>
    <t>B0257</t>
  </si>
  <si>
    <t>CUST1340</t>
  </si>
  <si>
    <t>B0258</t>
  </si>
  <si>
    <t>CUST0020</t>
  </si>
  <si>
    <t>B0259</t>
  </si>
  <si>
    <t>CUST1315</t>
  </si>
  <si>
    <t>B0260</t>
  </si>
  <si>
    <t>CUST1609</t>
  </si>
  <si>
    <t>R042</t>
  </si>
  <si>
    <t>B0262</t>
  </si>
  <si>
    <t>CUST0255</t>
  </si>
  <si>
    <t>B0263</t>
  </si>
  <si>
    <t>CUST0921</t>
  </si>
  <si>
    <t>B0264</t>
  </si>
  <si>
    <t>CUST0161</t>
  </si>
  <si>
    <t>B0265</t>
  </si>
  <si>
    <t>CUST1203</t>
  </si>
  <si>
    <t>B0266</t>
  </si>
  <si>
    <t>CUST0279</t>
  </si>
  <si>
    <t>R068</t>
  </si>
  <si>
    <t>B0267</t>
  </si>
  <si>
    <t>CUST1572</t>
  </si>
  <si>
    <t>B0268</t>
  </si>
  <si>
    <t>CUST0669</t>
  </si>
  <si>
    <t>B0270</t>
  </si>
  <si>
    <t>CUST1321</t>
  </si>
  <si>
    <t>B0271</t>
  </si>
  <si>
    <t>CUST0350</t>
  </si>
  <si>
    <t>B0272</t>
  </si>
  <si>
    <t>CUST0313</t>
  </si>
  <si>
    <t>B0274</t>
  </si>
  <si>
    <t>CUST0364</t>
  </si>
  <si>
    <t>B0275</t>
  </si>
  <si>
    <t>CUST1584</t>
  </si>
  <si>
    <t>B0276</t>
  </si>
  <si>
    <t>CUST0050</t>
  </si>
  <si>
    <t>B0277</t>
  </si>
  <si>
    <t>CUST1665</t>
  </si>
  <si>
    <t>B0278</t>
  </si>
  <si>
    <t>CUST0243</t>
  </si>
  <si>
    <t>B0279</t>
  </si>
  <si>
    <t>CUST1683</t>
  </si>
  <si>
    <t>B0280</t>
  </si>
  <si>
    <t>CUST0058</t>
  </si>
  <si>
    <t>B0281</t>
  </si>
  <si>
    <t>CUST1432</t>
  </si>
  <si>
    <t>B0282</t>
  </si>
  <si>
    <t>CUST1292</t>
  </si>
  <si>
    <t>B0283</t>
  </si>
  <si>
    <t>CUST1433</t>
  </si>
  <si>
    <t>B0284</t>
  </si>
  <si>
    <t>CUST0326</t>
  </si>
  <si>
    <t>B0285</t>
  </si>
  <si>
    <t>CUST0108</t>
  </si>
  <si>
    <t>B0286</t>
  </si>
  <si>
    <t>CUST0336</t>
  </si>
  <si>
    <t>B0288</t>
  </si>
  <si>
    <t>CUST0893</t>
  </si>
  <si>
    <t>B0290</t>
  </si>
  <si>
    <t>CUST0725</t>
  </si>
  <si>
    <t>B0291</t>
  </si>
  <si>
    <t>CUST0552</t>
  </si>
  <si>
    <t>B0292</t>
  </si>
  <si>
    <t>CUST0479</t>
  </si>
  <si>
    <t>B0293</t>
  </si>
  <si>
    <t>CUST1707</t>
  </si>
  <si>
    <t>B0294</t>
  </si>
  <si>
    <t>CUST0752</t>
  </si>
  <si>
    <t>B0296</t>
  </si>
  <si>
    <t>CUST1329</t>
  </si>
  <si>
    <t>B0297</t>
  </si>
  <si>
    <t>CUST1566</t>
  </si>
  <si>
    <t>B0298</t>
  </si>
  <si>
    <t>CUST0536</t>
  </si>
  <si>
    <t>B0299</t>
  </si>
  <si>
    <t>CUST1582</t>
  </si>
  <si>
    <t>B0300</t>
  </si>
  <si>
    <t>CUST1158</t>
  </si>
  <si>
    <t>B0301</t>
  </si>
  <si>
    <t>CUST0535</t>
  </si>
  <si>
    <t>B0302</t>
  </si>
  <si>
    <t>CUST1325</t>
  </si>
  <si>
    <t>B0305</t>
  </si>
  <si>
    <t>CUST0227</t>
  </si>
  <si>
    <t>B0306</t>
  </si>
  <si>
    <t>CUST1031</t>
  </si>
  <si>
    <t>B0307</t>
  </si>
  <si>
    <t>CUST0395</t>
  </si>
  <si>
    <t>B0308</t>
  </si>
  <si>
    <t>CUST0049</t>
  </si>
  <si>
    <t>B0309</t>
  </si>
  <si>
    <t>CUST0525</t>
  </si>
  <si>
    <t>B0312</t>
  </si>
  <si>
    <t>CUST1634</t>
  </si>
  <si>
    <t>B0313</t>
  </si>
  <si>
    <t>CUST0077</t>
  </si>
  <si>
    <t>B0314</t>
  </si>
  <si>
    <t>CUST0745</t>
  </si>
  <si>
    <t>B0315</t>
  </si>
  <si>
    <t>CUST0912</t>
  </si>
  <si>
    <t>B0317</t>
  </si>
  <si>
    <t>CUST1059</t>
  </si>
  <si>
    <t>B0318</t>
  </si>
  <si>
    <t>CUST0282</t>
  </si>
  <si>
    <t>B0319</t>
  </si>
  <si>
    <t>CUST1625</t>
  </si>
  <si>
    <t>B0320</t>
  </si>
  <si>
    <t>CUST0721</t>
  </si>
  <si>
    <t>B0321</t>
  </si>
  <si>
    <t>CUST1317</t>
  </si>
  <si>
    <t>B0322</t>
  </si>
  <si>
    <t>CUST1424</t>
  </si>
  <si>
    <t>B0323</t>
  </si>
  <si>
    <t>CUST1786</t>
  </si>
  <si>
    <t>B0324</t>
  </si>
  <si>
    <t>CUST0173</t>
  </si>
  <si>
    <t>B0326</t>
  </si>
  <si>
    <t>CUST1104</t>
  </si>
  <si>
    <t>B0327</t>
  </si>
  <si>
    <t>CUST0582</t>
  </si>
  <si>
    <t>B0328</t>
  </si>
  <si>
    <t>CUST0087</t>
  </si>
  <si>
    <t>B0329</t>
  </si>
  <si>
    <t>CUST0648</t>
  </si>
  <si>
    <t>B0330</t>
  </si>
  <si>
    <t>CUST0897</t>
  </si>
  <si>
    <t>B0331</t>
  </si>
  <si>
    <t>CUST0215</t>
  </si>
  <si>
    <t>B0332</t>
  </si>
  <si>
    <t>CUST0878</t>
  </si>
  <si>
    <t>B0333</t>
  </si>
  <si>
    <t>CUST1513</t>
  </si>
  <si>
    <t>B0334</t>
  </si>
  <si>
    <t>CUST1368</t>
  </si>
  <si>
    <t>B0335</t>
  </si>
  <si>
    <t>CUST1344</t>
  </si>
  <si>
    <t>R012</t>
  </si>
  <si>
    <t>B0336</t>
  </si>
  <si>
    <t>CUST1596</t>
  </si>
  <si>
    <t>B0337</t>
  </si>
  <si>
    <t>CUST0633</t>
  </si>
  <si>
    <t>B0338</t>
  </si>
  <si>
    <t>CUST0679</t>
  </si>
  <si>
    <t>B0339</t>
  </si>
  <si>
    <t>CUST1247</t>
  </si>
  <si>
    <t>B0340</t>
  </si>
  <si>
    <t>CUST0494</t>
  </si>
  <si>
    <t>B0341</t>
  </si>
  <si>
    <t>CUST1217</t>
  </si>
  <si>
    <t>B0342</t>
  </si>
  <si>
    <t>CUST0070</t>
  </si>
  <si>
    <t>B0343</t>
  </si>
  <si>
    <t>CUST0324</t>
  </si>
  <si>
    <t>B0344</t>
  </si>
  <si>
    <t>CUST1141</t>
  </si>
  <si>
    <t>B0345</t>
  </si>
  <si>
    <t>CUST0747</t>
  </si>
  <si>
    <t>B0346</t>
  </si>
  <si>
    <t>CUST0522</t>
  </si>
  <si>
    <t>B0347</t>
  </si>
  <si>
    <t>CUST1091</t>
  </si>
  <si>
    <t>B0348</t>
  </si>
  <si>
    <t>CUST0029</t>
  </si>
  <si>
    <t>B0349</t>
  </si>
  <si>
    <t>CUST1722</t>
  </si>
  <si>
    <t>B0350</t>
  </si>
  <si>
    <t>CUST0022</t>
  </si>
  <si>
    <t>B0353</t>
  </si>
  <si>
    <t>CUST0123</t>
  </si>
  <si>
    <t>B0354</t>
  </si>
  <si>
    <t>CUST0665</t>
  </si>
  <si>
    <t>B0355</t>
  </si>
  <si>
    <t>CUST0583</t>
  </si>
  <si>
    <t>B0356</t>
  </si>
  <si>
    <t>CUST0237</t>
  </si>
  <si>
    <t>B0358</t>
  </si>
  <si>
    <t>CUST0228</t>
  </si>
  <si>
    <t>B0359</t>
  </si>
  <si>
    <t>CUST0925</t>
  </si>
  <si>
    <t>B0361</t>
  </si>
  <si>
    <t>CUST0884</t>
  </si>
  <si>
    <t>B0362</t>
  </si>
  <si>
    <t>CUST0667</t>
  </si>
  <si>
    <t>B0363</t>
  </si>
  <si>
    <t>CUST0257</t>
  </si>
  <si>
    <t>B0364</t>
  </si>
  <si>
    <t>CUST0846</t>
  </si>
  <si>
    <t>B0365</t>
  </si>
  <si>
    <t>CUST1796</t>
  </si>
  <si>
    <t>B0366</t>
  </si>
  <si>
    <t>CUST1328</t>
  </si>
  <si>
    <t>B0367</t>
  </si>
  <si>
    <t>CUST1431</t>
  </si>
  <si>
    <t>B0368</t>
  </si>
  <si>
    <t>CUST1585</t>
  </si>
  <si>
    <t>B0369</t>
  </si>
  <si>
    <t>CUST0797</t>
  </si>
  <si>
    <t>B0370</t>
  </si>
  <si>
    <t>CUST0843</t>
  </si>
  <si>
    <t>B0371</t>
  </si>
  <si>
    <t>CUST1014</t>
  </si>
  <si>
    <t>B0372</t>
  </si>
  <si>
    <t>CUST1264</t>
  </si>
  <si>
    <t>B0374</t>
  </si>
  <si>
    <t>CUST0369</t>
  </si>
  <si>
    <t>B0376</t>
  </si>
  <si>
    <t>CUST1092</t>
  </si>
  <si>
    <t>B0377</t>
  </si>
  <si>
    <t>CUST0486</t>
  </si>
  <si>
    <t>B0378</t>
  </si>
  <si>
    <t>CUST0660</t>
  </si>
  <si>
    <t>B0379</t>
  </si>
  <si>
    <t>CUST1528</t>
  </si>
  <si>
    <t>B0380</t>
  </si>
  <si>
    <t>CUST1313</t>
  </si>
  <si>
    <t>B0381</t>
  </si>
  <si>
    <t>CUST1442</t>
  </si>
  <si>
    <t>B0382</t>
  </si>
  <si>
    <t>CUST0249</t>
  </si>
  <si>
    <t>B0383</t>
  </si>
  <si>
    <t>CUST0362</t>
  </si>
  <si>
    <t>B0385</t>
  </si>
  <si>
    <t>CUST0813</t>
  </si>
  <si>
    <t>B0386</t>
  </si>
  <si>
    <t>CUST1468</t>
  </si>
  <si>
    <t>B0388</t>
  </si>
  <si>
    <t>CUST1709</t>
  </si>
  <si>
    <t>B0389</t>
  </si>
  <si>
    <t>CUST0935</t>
  </si>
  <si>
    <t>B0391</t>
  </si>
  <si>
    <t>CUST0117</t>
  </si>
  <si>
    <t>B0392</t>
  </si>
  <si>
    <t>CUST0093</t>
  </si>
  <si>
    <t>B0394</t>
  </si>
  <si>
    <t>CUST1030</t>
  </si>
  <si>
    <t>B0395</t>
  </si>
  <si>
    <t>CUST0709</t>
  </si>
  <si>
    <t>B0396</t>
  </si>
  <si>
    <t>CUST1589</t>
  </si>
  <si>
    <t>B0397</t>
  </si>
  <si>
    <t>CUST0159</t>
  </si>
  <si>
    <t>B0398</t>
  </si>
  <si>
    <t>CUST1712</t>
  </si>
  <si>
    <t>B0399</t>
  </si>
  <si>
    <t>CUST0207</t>
  </si>
  <si>
    <t>B0400</t>
  </si>
  <si>
    <t>CUST1159</t>
  </si>
  <si>
    <t>B0401</t>
  </si>
  <si>
    <t>CUST0555</t>
  </si>
  <si>
    <t>B0402</t>
  </si>
  <si>
    <t>CUST0195</t>
  </si>
  <si>
    <t>B0403</t>
  </si>
  <si>
    <t>CUST0809</t>
  </si>
  <si>
    <t>B0404</t>
  </si>
  <si>
    <t>CUST0239</t>
  </si>
  <si>
    <t>B0405</t>
  </si>
  <si>
    <t>CUST1269</t>
  </si>
  <si>
    <t>B0406</t>
  </si>
  <si>
    <t>CUST1002</t>
  </si>
  <si>
    <t>B0407</t>
  </si>
  <si>
    <t>CUST0363</t>
  </si>
  <si>
    <t>B0408</t>
  </si>
  <si>
    <t>CUST0088</t>
  </si>
  <si>
    <t>B0411</t>
  </si>
  <si>
    <t>CUST1469</t>
  </si>
  <si>
    <t>B0412</t>
  </si>
  <si>
    <t>CUST0957</t>
  </si>
  <si>
    <t>B0413</t>
  </si>
  <si>
    <t>CUST1718</t>
  </si>
  <si>
    <t>B0414</t>
  </si>
  <si>
    <t>CUST0245</t>
  </si>
  <si>
    <t>B0415</t>
  </si>
  <si>
    <t>CUST1287</t>
  </si>
  <si>
    <t>B0417</t>
  </si>
  <si>
    <t>CUST0611</t>
  </si>
  <si>
    <t>B0420</t>
  </si>
  <si>
    <t>CUST0320</t>
  </si>
  <si>
    <t>B0421</t>
  </si>
  <si>
    <t>CUST1127</t>
  </si>
  <si>
    <t>B0422</t>
  </si>
  <si>
    <t>CUST0879</t>
  </si>
  <si>
    <t>B0423</t>
  </si>
  <si>
    <t>CUST0815</t>
  </si>
  <si>
    <t>B0424</t>
  </si>
  <si>
    <t>CUST0169</t>
  </si>
  <si>
    <t>B0425</t>
  </si>
  <si>
    <t>CUST1771</t>
  </si>
  <si>
    <t>B0426</t>
  </si>
  <si>
    <t>CUST0547</t>
  </si>
  <si>
    <t>B0428</t>
  </si>
  <si>
    <t>CUST1480</t>
  </si>
  <si>
    <t>B0429</t>
  </si>
  <si>
    <t>CUST1098</t>
  </si>
  <si>
    <t>B0430</t>
  </si>
  <si>
    <t>CUST0102</t>
  </si>
  <si>
    <t>B0431</t>
  </si>
  <si>
    <t>CUST0966</t>
  </si>
  <si>
    <t>B0433</t>
  </si>
  <si>
    <t>CUST1653</t>
  </si>
  <si>
    <t>B0435</t>
  </si>
  <si>
    <t>CUST1341</t>
  </si>
  <si>
    <t>B0436</t>
  </si>
  <si>
    <t>CUST1628</t>
  </si>
  <si>
    <t>B0437</t>
  </si>
  <si>
    <t>CUST1737</t>
  </si>
  <si>
    <t>B0438</t>
  </si>
  <si>
    <t>CUST0610</t>
  </si>
  <si>
    <t>B0439</t>
  </si>
  <si>
    <t>CUST0841</t>
  </si>
  <si>
    <t>B0440</t>
  </si>
  <si>
    <t>CUST1696</t>
  </si>
  <si>
    <t>B0441</t>
  </si>
  <si>
    <t>CUST0214</t>
  </si>
  <si>
    <t>B0442</t>
  </si>
  <si>
    <t>CUST0353</t>
  </si>
  <si>
    <t>B0443</t>
  </si>
  <si>
    <t>CUST1568</t>
  </si>
  <si>
    <t>B0445</t>
  </si>
  <si>
    <t>CUST1384</t>
  </si>
  <si>
    <t>B0446</t>
  </si>
  <si>
    <t>CUST0454</t>
  </si>
  <si>
    <t>R040</t>
  </si>
  <si>
    <t>B0448</t>
  </si>
  <si>
    <t>CUST1739</t>
  </si>
  <si>
    <t>B0449</t>
  </si>
  <si>
    <t>CUST1176</t>
  </si>
  <si>
    <t>B0450</t>
  </si>
  <si>
    <t>CUST0373</t>
  </si>
  <si>
    <t>B0452</t>
  </si>
  <si>
    <t>CUST0790</t>
  </si>
  <si>
    <t>B0454</t>
  </si>
  <si>
    <t>CUST1804</t>
  </si>
  <si>
    <t>B0455</t>
  </si>
  <si>
    <t>CUST1801</t>
  </si>
  <si>
    <t>B0457</t>
  </si>
  <si>
    <t>CUST1190</t>
  </si>
  <si>
    <t>B0458</t>
  </si>
  <si>
    <t>CUST0391</t>
  </si>
  <si>
    <t>B0459</t>
  </si>
  <si>
    <t>CUST0958</t>
  </si>
  <si>
    <t>B0460</t>
  </si>
  <si>
    <t>CUST0258</t>
  </si>
  <si>
    <t>B0461</t>
  </si>
  <si>
    <t>CUST0631</t>
  </si>
  <si>
    <t>B0462</t>
  </si>
  <si>
    <t>CUST0861</t>
  </si>
  <si>
    <t>B0463</t>
  </si>
  <si>
    <t>CUST0796</t>
  </si>
  <si>
    <t>B0464</t>
  </si>
  <si>
    <t>CUST1227</t>
  </si>
  <si>
    <t>B0465</t>
  </si>
  <si>
    <t>CUST0887</t>
  </si>
  <si>
    <t>B0467</t>
  </si>
  <si>
    <t>CUST0219</t>
  </si>
  <si>
    <t>B0468</t>
  </si>
  <si>
    <t>CUST1449</t>
  </si>
  <si>
    <t>B0469</t>
  </si>
  <si>
    <t>CUST0733</t>
  </si>
  <si>
    <t>B0470</t>
  </si>
  <si>
    <t>CUST1701</t>
  </si>
  <si>
    <t>B0471</t>
  </si>
  <si>
    <t>CUST0002</t>
  </si>
  <si>
    <t>B0472</t>
  </si>
  <si>
    <t>CUST1750</t>
  </si>
  <si>
    <t>B0473</t>
  </si>
  <si>
    <t>CUST0127</t>
  </si>
  <si>
    <t>B0474</t>
  </si>
  <si>
    <t>CUST1613</t>
  </si>
  <si>
    <t>B0476</t>
  </si>
  <si>
    <t>CUST0851</t>
  </si>
  <si>
    <t>B0477</t>
  </si>
  <si>
    <t>CUST0664</t>
  </si>
  <si>
    <t>B0478</t>
  </si>
  <si>
    <t>CUST0953</t>
  </si>
  <si>
    <t>B0479</t>
  </si>
  <si>
    <t>CUST1814</t>
  </si>
  <si>
    <t>B0480</t>
  </si>
  <si>
    <t>CUST0731</t>
  </si>
  <si>
    <t>B0481</t>
  </si>
  <si>
    <t>CUST1006</t>
  </si>
  <si>
    <t>B0482</t>
  </si>
  <si>
    <t>CUST1751</t>
  </si>
  <si>
    <t>B0484</t>
  </si>
  <si>
    <t>CUST0374</t>
  </si>
  <si>
    <t>B0485</t>
  </si>
  <si>
    <t>CUST1057</t>
  </si>
  <si>
    <t>B0487</t>
  </si>
  <si>
    <t>CUST1294</t>
  </si>
  <si>
    <t>B0488</t>
  </si>
  <si>
    <t>CUST1153</t>
  </si>
  <si>
    <t>B0489</t>
  </si>
  <si>
    <t>CUST1478</t>
  </si>
  <si>
    <t>B0490</t>
  </si>
  <si>
    <t>CUST0629</t>
  </si>
  <si>
    <t>B0493</t>
  </si>
  <si>
    <t>CUST1666</t>
  </si>
  <si>
    <t>B0494</t>
  </si>
  <si>
    <t>CUST0045</t>
  </si>
  <si>
    <t>B0495</t>
  </si>
  <si>
    <t>CUST0289</t>
  </si>
  <si>
    <t>B0496</t>
  </si>
  <si>
    <t>CUST0160</t>
  </si>
  <si>
    <t>B0498</t>
  </si>
  <si>
    <t>CUST1663</t>
  </si>
  <si>
    <t>B0500</t>
  </si>
  <si>
    <t>CUST0323</t>
  </si>
  <si>
    <t>B0501</t>
  </si>
  <si>
    <t>CUST0477</t>
  </si>
  <si>
    <t>B0503</t>
  </si>
  <si>
    <t>CUST0211</t>
  </si>
  <si>
    <t>B0504</t>
  </si>
  <si>
    <t>CUST1293</t>
  </si>
  <si>
    <t>B0508</t>
  </si>
  <si>
    <t>CUST0220</t>
  </si>
  <si>
    <t>B0509</t>
  </si>
  <si>
    <t>CUST0346</t>
  </si>
  <si>
    <t>B0510</t>
  </si>
  <si>
    <t>CUST0869</t>
  </si>
  <si>
    <t>B0511</t>
  </si>
  <si>
    <t>CUST1192</t>
  </si>
  <si>
    <t>B0512</t>
  </si>
  <si>
    <t>CUST0423</t>
  </si>
  <si>
    <t>B0513</t>
  </si>
  <si>
    <t>CUST1364</t>
  </si>
  <si>
    <t>B0514</t>
  </si>
  <si>
    <t>CUST1524</t>
  </si>
  <si>
    <t>B0516</t>
  </si>
  <si>
    <t>CUST0449</t>
  </si>
  <si>
    <t>B0517</t>
  </si>
  <si>
    <t>CUST0498</t>
  </si>
  <si>
    <t>B0518</t>
  </si>
  <si>
    <t>CUST1720</t>
  </si>
  <si>
    <t>B0519</t>
  </si>
  <si>
    <t>CUST1559</t>
  </si>
  <si>
    <t>B0520</t>
  </si>
  <si>
    <t>CUST0769</t>
  </si>
  <si>
    <t>B0521</t>
  </si>
  <si>
    <t>CUST0024</t>
  </si>
  <si>
    <t>B0522</t>
  </si>
  <si>
    <t>CUST0153</t>
  </si>
  <si>
    <t>B0524</t>
  </si>
  <si>
    <t>CUST1635</t>
  </si>
  <si>
    <t>B0525</t>
  </si>
  <si>
    <t>CUST0406</t>
  </si>
  <si>
    <t>B0526</t>
  </si>
  <si>
    <t>CUST0222</t>
  </si>
  <si>
    <t>B0527</t>
  </si>
  <si>
    <t>CUST0699</t>
  </si>
  <si>
    <t>B0530</t>
  </si>
  <si>
    <t>CUST1784</t>
  </si>
  <si>
    <t>B0531</t>
  </si>
  <si>
    <t>CUST1500</t>
  </si>
  <si>
    <t>B0532</t>
  </si>
  <si>
    <t>CUST1139</t>
  </si>
  <si>
    <t>B0534</t>
  </si>
  <si>
    <t>CUST1136</t>
  </si>
  <si>
    <t>B0535</t>
  </si>
  <si>
    <t>CUST0499</t>
  </si>
  <si>
    <t>B0536</t>
  </si>
  <si>
    <t>CUST1446</t>
  </si>
  <si>
    <t>B0538</t>
  </si>
  <si>
    <t>CUST0147</t>
  </si>
  <si>
    <t>B0540</t>
  </si>
  <si>
    <t>CUST1101</t>
  </si>
  <si>
    <t>B0541</t>
  </si>
  <si>
    <t>CUST0649</t>
  </si>
  <si>
    <t>B0542</t>
  </si>
  <si>
    <t>CUST0404</t>
  </si>
  <si>
    <t>B0544</t>
  </si>
  <si>
    <t>CUST0402</t>
  </si>
  <si>
    <t>B0546</t>
  </si>
  <si>
    <t>CUST0192</t>
  </si>
  <si>
    <t>B0547</t>
  </si>
  <si>
    <t>CUST1019</t>
  </si>
  <si>
    <t>B0551</t>
  </si>
  <si>
    <t>CUST0930</t>
  </si>
  <si>
    <t>B0552</t>
  </si>
  <si>
    <t>CUST0335</t>
  </si>
  <si>
    <t>B0553</t>
  </si>
  <si>
    <t>CUST1214</t>
  </si>
  <si>
    <t>B0554</t>
  </si>
  <si>
    <t>CUST0589</t>
  </si>
  <si>
    <t>B0555</t>
  </si>
  <si>
    <t>CUST0710</t>
  </si>
  <si>
    <t>B0556</t>
  </si>
  <si>
    <t>CUST1038</t>
  </si>
  <si>
    <t>B0557</t>
  </si>
  <si>
    <t>CUST0134</t>
  </si>
  <si>
    <t>B0558</t>
  </si>
  <si>
    <t>CUST0862</t>
  </si>
  <si>
    <t>B0559</t>
  </si>
  <si>
    <t>CUST1402</t>
  </si>
  <si>
    <t>B0560</t>
  </si>
  <si>
    <t>CUST1705</t>
  </si>
  <si>
    <t>B0563</t>
  </si>
  <si>
    <t>CUST0104</t>
  </si>
  <si>
    <t>B0564</t>
  </si>
  <si>
    <t>CUST0194</t>
  </si>
  <si>
    <t>B0565</t>
  </si>
  <si>
    <t>CUST1546</t>
  </si>
  <si>
    <t>B0566</t>
  </si>
  <si>
    <t>CUST1757</t>
  </si>
  <si>
    <t>B0567</t>
  </si>
  <si>
    <t>CUST1394</t>
  </si>
  <si>
    <t>B0568</t>
  </si>
  <si>
    <t>CUST1183</t>
  </si>
  <si>
    <t>B0570</t>
  </si>
  <si>
    <t>CUST1408</t>
  </si>
  <si>
    <t>B0571</t>
  </si>
  <si>
    <t>CUST0383</t>
  </si>
  <si>
    <t>B0572</t>
  </si>
  <si>
    <t>CUST0415</t>
  </si>
  <si>
    <t>B0574</t>
  </si>
  <si>
    <t>CUST1044</t>
  </si>
  <si>
    <t>B0575</t>
  </si>
  <si>
    <t>CUST0785</t>
  </si>
  <si>
    <t>B0576</t>
  </si>
  <si>
    <t>CUST0726</t>
  </si>
  <si>
    <t>B0577</t>
  </si>
  <si>
    <t>CUST0463</t>
  </si>
  <si>
    <t>B0578</t>
  </si>
  <si>
    <t>CUST0297</t>
  </si>
  <si>
    <t>B0579</t>
  </si>
  <si>
    <t>CUST0872</t>
  </si>
  <si>
    <t>B0580</t>
  </si>
  <si>
    <t>CUST0615</t>
  </si>
  <si>
    <t>B0581</t>
  </si>
  <si>
    <t>CUST0256</t>
  </si>
  <si>
    <t>B0582</t>
  </si>
  <si>
    <t>CUST0190</t>
  </si>
  <si>
    <t>B0583</t>
  </si>
  <si>
    <t>CUST0600</t>
  </si>
  <si>
    <t>B0584</t>
  </si>
  <si>
    <t>CUST0411</t>
  </si>
  <si>
    <t>B0587</t>
  </si>
  <si>
    <t>CUST0577</t>
  </si>
  <si>
    <t>B0591</t>
  </si>
  <si>
    <t>CUST0101</t>
  </si>
  <si>
    <t>B0594</t>
  </si>
  <si>
    <t>CUST1140</t>
  </si>
  <si>
    <t>B0595</t>
  </si>
  <si>
    <t>CUST0678</t>
  </si>
  <si>
    <t>B0596</t>
  </si>
  <si>
    <t>CUST1377</t>
  </si>
  <si>
    <t>B0597</t>
  </si>
  <si>
    <t>CUST1254</t>
  </si>
  <si>
    <t>B0599</t>
  </si>
  <si>
    <t>CUST1672</t>
  </si>
  <si>
    <t>B0600</t>
  </si>
  <si>
    <t>CUST1530</t>
  </si>
  <si>
    <t>B0604</t>
  </si>
  <si>
    <t>CUST1053</t>
  </si>
  <si>
    <t>B0605</t>
  </si>
  <si>
    <t>CUST1248</t>
  </si>
  <si>
    <t>B0607</t>
  </si>
  <si>
    <t>CUST1716</t>
  </si>
  <si>
    <t>B0608</t>
  </si>
  <si>
    <t>CUST0030</t>
  </si>
  <si>
    <t>B0609</t>
  </si>
  <si>
    <t>CUST1676</t>
  </si>
  <si>
    <t>B0611</t>
  </si>
  <si>
    <t>CUST1353</t>
  </si>
  <si>
    <t>B0612</t>
  </si>
  <si>
    <t>CUST1047</t>
  </si>
  <si>
    <t>B0613</t>
  </si>
  <si>
    <t>CUST1087</t>
  </si>
  <si>
    <t>B0614</t>
  </si>
  <si>
    <t>CUST1097</t>
  </si>
  <si>
    <t>B0615</t>
  </si>
  <si>
    <t>CUST0823</t>
  </si>
  <si>
    <t>B0616</t>
  </si>
  <si>
    <t>CUST1058</t>
  </si>
  <si>
    <t>B0617</t>
  </si>
  <si>
    <t>CUST0911</t>
  </si>
  <si>
    <t>B0619</t>
  </si>
  <si>
    <t>CUST0513</t>
  </si>
  <si>
    <t>B0621</t>
  </si>
  <si>
    <t>CUST0224</t>
  </si>
  <si>
    <t>B0622</t>
  </si>
  <si>
    <t>CUST1033</t>
  </si>
  <si>
    <t>B0624</t>
  </si>
  <si>
    <t>CUST1473</t>
  </si>
  <si>
    <t>B0625</t>
  </si>
  <si>
    <t>CUST0295</t>
  </si>
  <si>
    <t>B0626</t>
  </si>
  <si>
    <t>CUST1358</t>
  </si>
  <si>
    <t>B0627</t>
  </si>
  <si>
    <t>CUST0009</t>
  </si>
  <si>
    <t>B0632</t>
  </si>
  <si>
    <t>CUST1246</t>
  </si>
  <si>
    <t>B0633</t>
  </si>
  <si>
    <t>CUST0312</t>
  </si>
  <si>
    <t>B0634</t>
  </si>
  <si>
    <t>CUST1651</t>
  </si>
  <si>
    <t>B0635</t>
  </si>
  <si>
    <t>CUST1370</t>
  </si>
  <si>
    <t>B0637</t>
  </si>
  <si>
    <t>CUST0842</t>
  </si>
  <si>
    <t>B0638</t>
  </si>
  <si>
    <t>CUST0928</t>
  </si>
  <si>
    <t>B0639</t>
  </si>
  <si>
    <t>CUST0845</t>
  </si>
  <si>
    <t>B0640</t>
  </si>
  <si>
    <t>CUST0461</t>
  </si>
  <si>
    <t>B0642</t>
  </si>
  <si>
    <t>CUST1163</t>
  </si>
  <si>
    <t>B0643</t>
  </si>
  <si>
    <t>CUST0969</t>
  </si>
  <si>
    <t>B0644</t>
  </si>
  <si>
    <t>CUST1496</t>
  </si>
  <si>
    <t>B0645</t>
  </si>
  <si>
    <t>CUST1592</t>
  </si>
  <si>
    <t>B0646</t>
  </si>
  <si>
    <t>CUST0012</t>
  </si>
  <si>
    <t>B0647</t>
  </si>
  <si>
    <t>CUST1288</t>
  </si>
  <si>
    <t>B0650</t>
  </si>
  <si>
    <t>CUST0559</t>
  </si>
  <si>
    <t>B0651</t>
  </si>
  <si>
    <t>CUST0732</t>
  </si>
  <si>
    <t>B0652</t>
  </si>
  <si>
    <t>CUST0231</t>
  </si>
  <si>
    <t>B0653</t>
  </si>
  <si>
    <t>CUST0053</t>
  </si>
  <si>
    <t>B0654</t>
  </si>
  <si>
    <t>CUST0017</t>
  </si>
  <si>
    <t>B0655</t>
  </si>
  <si>
    <t>CUST1113</t>
  </si>
  <si>
    <t>B0657</t>
  </si>
  <si>
    <t>CUST0714</t>
  </si>
  <si>
    <t>B0658</t>
  </si>
  <si>
    <t>CUST0400</t>
  </si>
  <si>
    <t>B0660</t>
  </si>
  <si>
    <t>CUST0470</t>
  </si>
  <si>
    <t>B0661</t>
  </si>
  <si>
    <t>CUST0396</t>
  </si>
  <si>
    <t>B0662</t>
  </si>
  <si>
    <t>CUST0793</t>
  </si>
  <si>
    <t>B0665</t>
  </si>
  <si>
    <t>CUST1797</t>
  </si>
  <si>
    <t>B0666</t>
  </si>
  <si>
    <t>CUST0647</t>
  </si>
  <si>
    <t>B0667</t>
  </si>
  <si>
    <t>CUST1124</t>
  </si>
  <si>
    <t>B0670</t>
  </si>
  <si>
    <t>CUST0148</t>
  </si>
  <si>
    <t>B0672</t>
  </si>
  <si>
    <t>CUST1545</t>
  </si>
  <si>
    <t>B0676</t>
  </si>
  <si>
    <t>CUST1319</t>
  </si>
  <si>
    <t>B0677</t>
  </si>
  <si>
    <t>CUST1306</t>
  </si>
  <si>
    <t>B0678</t>
  </si>
  <si>
    <t>CUST0149</t>
  </si>
  <si>
    <t>B0680</t>
  </si>
  <si>
    <t>CUST0701</t>
  </si>
  <si>
    <t>B0681</t>
  </si>
  <si>
    <t>CUST0164</t>
  </si>
  <si>
    <t>B0682</t>
  </si>
  <si>
    <t>CUST0977</t>
  </si>
  <si>
    <t>B0686</t>
  </si>
  <si>
    <t>CUST1438</t>
  </si>
  <si>
    <t>B0687</t>
  </si>
  <si>
    <t>CUST1411</t>
  </si>
  <si>
    <t>B0688</t>
  </si>
  <si>
    <t>CUST0558</t>
  </si>
  <si>
    <t>B0690</t>
  </si>
  <si>
    <t>CUST0186</t>
  </si>
  <si>
    <t>B0693</t>
  </si>
  <si>
    <t>CUST1100</t>
  </si>
  <si>
    <t>B0694</t>
  </si>
  <si>
    <t>CUST0896</t>
  </si>
  <si>
    <t>B0695</t>
  </si>
  <si>
    <t>CUST0690</t>
  </si>
  <si>
    <t>B0696</t>
  </si>
  <si>
    <t>CUST1641</t>
  </si>
  <si>
    <t>B0697</t>
  </si>
  <si>
    <t>CUST1539</t>
  </si>
  <si>
    <t>B0698</t>
  </si>
  <si>
    <t>CUST0812</t>
  </si>
  <si>
    <t>B0700</t>
  </si>
  <si>
    <t>CUST1773</t>
  </si>
  <si>
    <t>B0701</t>
  </si>
  <si>
    <t>CUST1692</t>
  </si>
  <si>
    <t>B0702</t>
  </si>
  <si>
    <t>CUST0466</t>
  </si>
  <si>
    <t>B0703</t>
  </si>
  <si>
    <t>CUST0304</t>
  </si>
  <si>
    <t>B0704</t>
  </si>
  <si>
    <t>CUST1826</t>
  </si>
  <si>
    <t>B0705</t>
  </si>
  <si>
    <t>CUST0321</t>
  </si>
  <si>
    <t>B0707</t>
  </si>
  <si>
    <t>CUST0341</t>
  </si>
  <si>
    <t>B0708</t>
  </si>
  <si>
    <t>CUST0803</t>
  </si>
  <si>
    <t>B0710</t>
  </si>
  <si>
    <t>CUST1266</t>
  </si>
  <si>
    <t>B0711</t>
  </si>
  <si>
    <t>CUST1583</t>
  </si>
  <si>
    <t>B0713</t>
  </si>
  <si>
    <t>CUST1205</t>
  </si>
  <si>
    <t>B0714</t>
  </si>
  <si>
    <t>CUST0651</t>
  </si>
  <si>
    <t>B0715</t>
  </si>
  <si>
    <t>CUST1484</t>
  </si>
  <si>
    <t>B0717</t>
  </si>
  <si>
    <t>CUST0154</t>
  </si>
  <si>
    <t>B0719</t>
  </si>
  <si>
    <t>CUST1780</t>
  </si>
  <si>
    <t>B0720</t>
  </si>
  <si>
    <t>CUST1749</t>
  </si>
  <si>
    <t>B0724</t>
  </si>
  <si>
    <t>CUST1180</t>
  </si>
  <si>
    <t>B0729</t>
  </si>
  <si>
    <t>CUST0508</t>
  </si>
  <si>
    <t>B0731</t>
  </si>
  <si>
    <t>CUST0970</t>
  </si>
  <si>
    <t>B0732</t>
  </si>
  <si>
    <t>CUST0278</t>
  </si>
  <si>
    <t>B0734</t>
  </si>
  <si>
    <t>CUST1610</t>
  </si>
  <si>
    <t>B0735</t>
  </si>
  <si>
    <t>CUST1076</t>
  </si>
  <si>
    <t>B0736</t>
  </si>
  <si>
    <t>CUST0422</t>
  </si>
  <si>
    <t>B0738</t>
  </si>
  <si>
    <t>CUST0305</t>
  </si>
  <si>
    <t>B0739</t>
  </si>
  <si>
    <t>CUST1194</t>
  </si>
  <si>
    <t>B0741</t>
  </si>
  <si>
    <t>CUST0657</t>
  </si>
  <si>
    <t>B0743</t>
  </si>
  <si>
    <t>CUST1128</t>
  </si>
  <si>
    <t>B0745</t>
  </si>
  <si>
    <t>CUST1774</t>
  </si>
  <si>
    <t>B0746</t>
  </si>
  <si>
    <t>CUST0210</t>
  </si>
  <si>
    <t>B0748</t>
  </si>
  <si>
    <t>CUST0168</t>
  </si>
  <si>
    <t>B0749</t>
  </si>
  <si>
    <t>CUST0951</t>
  </si>
  <si>
    <t>B0750</t>
  </si>
  <si>
    <t>CUST0106</t>
  </si>
  <si>
    <t>Customer_ID</t>
  </si>
  <si>
    <t>Customer_Name</t>
  </si>
  <si>
    <t>Age</t>
  </si>
  <si>
    <t>Gender</t>
  </si>
  <si>
    <t>City</t>
  </si>
  <si>
    <t>State</t>
  </si>
  <si>
    <t>Phone_Number</t>
  </si>
  <si>
    <t>CUST0001</t>
  </si>
  <si>
    <t>Maanas Dugal</t>
  </si>
  <si>
    <t>Male</t>
  </si>
  <si>
    <t>Ajmer</t>
  </si>
  <si>
    <t>Rajasthan</t>
  </si>
  <si>
    <t>Banjeet Bajwa</t>
  </si>
  <si>
    <t>Margao</t>
  </si>
  <si>
    <t>Goa</t>
  </si>
  <si>
    <t>CUST0003</t>
  </si>
  <si>
    <t>Rachana Chauhan</t>
  </si>
  <si>
    <t>Female</t>
  </si>
  <si>
    <t>Amritsar</t>
  </si>
  <si>
    <t>Punjab</t>
  </si>
  <si>
    <t>CUST0004</t>
  </si>
  <si>
    <t>Dipta Puri</t>
  </si>
  <si>
    <t>Bhagalpur</t>
  </si>
  <si>
    <t>Bihar</t>
  </si>
  <si>
    <t>CUST0005</t>
  </si>
  <si>
    <t>Oni Madan</t>
  </si>
  <si>
    <t>Udaipur</t>
  </si>
  <si>
    <t>Neha Kibe</t>
  </si>
  <si>
    <t>Dwarka</t>
  </si>
  <si>
    <t>Delhi</t>
  </si>
  <si>
    <t>CUST0007</t>
  </si>
  <si>
    <t>Nitara Arya</t>
  </si>
  <si>
    <t>Kolkata</t>
  </si>
  <si>
    <t>West Bengal</t>
  </si>
  <si>
    <t>CUST0008</t>
  </si>
  <si>
    <t>Orinder Aurora</t>
  </si>
  <si>
    <t>Thrissur</t>
  </si>
  <si>
    <t>Kerala</t>
  </si>
  <si>
    <t>Ucchal Grover</t>
  </si>
  <si>
    <t>Thiruvananthapuram</t>
  </si>
  <si>
    <t>CUST0010</t>
  </si>
  <si>
    <t>Chatresh Randhawa</t>
  </si>
  <si>
    <t>Nizamabad</t>
  </si>
  <si>
    <t>Telangana</t>
  </si>
  <si>
    <t>CUST0011</t>
  </si>
  <si>
    <t>Balendra Cheema</t>
  </si>
  <si>
    <t>Siliguri</t>
  </si>
  <si>
    <t>Peter Pau</t>
  </si>
  <si>
    <t>Gwalior</t>
  </si>
  <si>
    <t>Madhya Pradesh</t>
  </si>
  <si>
    <t>CUST0013</t>
  </si>
  <si>
    <t>Devansh Basak</t>
  </si>
  <si>
    <t>Gaya</t>
  </si>
  <si>
    <t>CUST0014</t>
  </si>
  <si>
    <t>Pallavi Majumdar</t>
  </si>
  <si>
    <t>Rohini</t>
  </si>
  <si>
    <t>CUST0015</t>
  </si>
  <si>
    <t>Sathvik Chaudry</t>
  </si>
  <si>
    <t>Bhopal</t>
  </si>
  <si>
    <t>CUST0016</t>
  </si>
  <si>
    <t>Hemangini Kaur</t>
  </si>
  <si>
    <t>Liam Om</t>
  </si>
  <si>
    <t>Howrah</t>
  </si>
  <si>
    <t>Yachana Bhasin</t>
  </si>
  <si>
    <t>Ludhiana</t>
  </si>
  <si>
    <t>CUST0019</t>
  </si>
  <si>
    <t>Yutika Singh</t>
  </si>
  <si>
    <t>Patiala</t>
  </si>
  <si>
    <t>Nakul Saraf</t>
  </si>
  <si>
    <t>Muzaffarpur</t>
  </si>
  <si>
    <t>Abhimanyu Raju</t>
  </si>
  <si>
    <t>Varanasi</t>
  </si>
  <si>
    <t>Uttar Pradesh</t>
  </si>
  <si>
    <t>Chatura Nair</t>
  </si>
  <si>
    <t>Ahmedabad</t>
  </si>
  <si>
    <t>Gujarat</t>
  </si>
  <si>
    <t>CUST0023</t>
  </si>
  <si>
    <t>Samar Kapur</t>
  </si>
  <si>
    <t>Panaji</t>
  </si>
  <si>
    <t>Frado Krishnan</t>
  </si>
  <si>
    <t>Salem</t>
  </si>
  <si>
    <t>Tamil Nadu</t>
  </si>
  <si>
    <t>CUST0025</t>
  </si>
  <si>
    <t>Atharv Dass</t>
  </si>
  <si>
    <t>Karimnagar</t>
  </si>
  <si>
    <t>Waida Chaudhary</t>
  </si>
  <si>
    <t>CUST0027</t>
  </si>
  <si>
    <t>Owen Shah</t>
  </si>
  <si>
    <t>Benjamin Jhaveri</t>
  </si>
  <si>
    <t>Belagavi</t>
  </si>
  <si>
    <t>Karnataka</t>
  </si>
  <si>
    <t>Ikbal Varty</t>
  </si>
  <si>
    <t>Kochi</t>
  </si>
  <si>
    <t>Dayita Varma</t>
  </si>
  <si>
    <t>Karol Bagh</t>
  </si>
  <si>
    <t>Ucchal Bora</t>
  </si>
  <si>
    <t>New Delhi</t>
  </si>
  <si>
    <t>CUST0032</t>
  </si>
  <si>
    <t>Netra Sawhney</t>
  </si>
  <si>
    <t>Bhubaneswar</t>
  </si>
  <si>
    <t>Odisha</t>
  </si>
  <si>
    <t>Varsha Pillay</t>
  </si>
  <si>
    <t>Anusha Singhal</t>
  </si>
  <si>
    <t>Jodhpur</t>
  </si>
  <si>
    <t>CUST0035</t>
  </si>
  <si>
    <t>William Prashad</t>
  </si>
  <si>
    <t>Hubli</t>
  </si>
  <si>
    <t>CUST0036</t>
  </si>
  <si>
    <t>Gayathri Loke</t>
  </si>
  <si>
    <t>CUST0037</t>
  </si>
  <si>
    <t>Caleb Chada</t>
  </si>
  <si>
    <t>Kota</t>
  </si>
  <si>
    <t>Pavani Wagle</t>
  </si>
  <si>
    <t>Patna</t>
  </si>
  <si>
    <t>CUST0039</t>
  </si>
  <si>
    <t>Charita Narayanan</t>
  </si>
  <si>
    <t>Siddharth Setty</t>
  </si>
  <si>
    <t>CUST0041</t>
  </si>
  <si>
    <t>Hemani Arya</t>
  </si>
  <si>
    <t>Cuttack</t>
  </si>
  <si>
    <t>CUST0042</t>
  </si>
  <si>
    <t>Hamsini Arya</t>
  </si>
  <si>
    <t>Vadodara</t>
  </si>
  <si>
    <t>CUST0043</t>
  </si>
  <si>
    <t>Hritik Kant</t>
  </si>
  <si>
    <t>Pune</t>
  </si>
  <si>
    <t>Maharashtra</t>
  </si>
  <si>
    <t>CUST0044</t>
  </si>
  <si>
    <t>Chandresh Pandya</t>
  </si>
  <si>
    <t>Rohan Mody</t>
  </si>
  <si>
    <t>CUST0046</t>
  </si>
  <si>
    <t>Omya Tara</t>
  </si>
  <si>
    <t>Aurangabad</t>
  </si>
  <si>
    <t>CUST0047</t>
  </si>
  <si>
    <t>Girindra Pandya</t>
  </si>
  <si>
    <t>CUST0048</t>
  </si>
  <si>
    <t>Harita Nigam</t>
  </si>
  <si>
    <t>Bhavnagar</t>
  </si>
  <si>
    <t>Ekbal Shankar</t>
  </si>
  <si>
    <t>Indali Patil</t>
  </si>
  <si>
    <t>CUST0051</t>
  </si>
  <si>
    <t>Janani Sant</t>
  </si>
  <si>
    <t>Kolhapur</t>
  </si>
  <si>
    <t>Riya Aggarwal</t>
  </si>
  <si>
    <t>Lucknow</t>
  </si>
  <si>
    <t>Timothy Sagar</t>
  </si>
  <si>
    <t>Jonathan Rao</t>
  </si>
  <si>
    <t>Jalandhar</t>
  </si>
  <si>
    <t>CUST0055</t>
  </si>
  <si>
    <t>Ekaja Mammen</t>
  </si>
  <si>
    <t>Caleb Narula</t>
  </si>
  <si>
    <t>CUST0057</t>
  </si>
  <si>
    <t>Manthan Varty</t>
  </si>
  <si>
    <t>Yash Nori</t>
  </si>
  <si>
    <t>CUST0059</t>
  </si>
  <si>
    <t>Zayan Jayaraman</t>
  </si>
  <si>
    <t>Puri</t>
  </si>
  <si>
    <t>CUST0060</t>
  </si>
  <si>
    <t>Anamika Magar</t>
  </si>
  <si>
    <t>Kanpur</t>
  </si>
  <si>
    <t>CUST0061</t>
  </si>
  <si>
    <t>Pushti Bhandari</t>
  </si>
  <si>
    <t>CUST0062</t>
  </si>
  <si>
    <t>Bimala Dutta</t>
  </si>
  <si>
    <t>Ujjain</t>
  </si>
  <si>
    <t>CUST0063</t>
  </si>
  <si>
    <t>Nirja Prasad</t>
  </si>
  <si>
    <t>Champak Merchant</t>
  </si>
  <si>
    <t>CUST0065</t>
  </si>
  <si>
    <t>Rehaan Jhaveri</t>
  </si>
  <si>
    <t>CUST0066</t>
  </si>
  <si>
    <t>Madhavi Sachdev</t>
  </si>
  <si>
    <t>CUST0067</t>
  </si>
  <si>
    <t>Dakshesh Pillai</t>
  </si>
  <si>
    <t>CUST0068</t>
  </si>
  <si>
    <t>Zashil Grover</t>
  </si>
  <si>
    <t>CUST0069</t>
  </si>
  <si>
    <t>Edhitha Sachdeva</t>
  </si>
  <si>
    <t>Ekaja Varma</t>
  </si>
  <si>
    <t>Warangal</t>
  </si>
  <si>
    <t>CUST0071</t>
  </si>
  <si>
    <t>Sathvik Dada</t>
  </si>
  <si>
    <t>Rajkot</t>
  </si>
  <si>
    <t>CUST0072</t>
  </si>
  <si>
    <t>Saanvi Seshadri</t>
  </si>
  <si>
    <t>Surat</t>
  </si>
  <si>
    <t>CUST0073</t>
  </si>
  <si>
    <t>Fiyaz Baral</t>
  </si>
  <si>
    <t>CUST0074</t>
  </si>
  <si>
    <t>Dayamai Hora</t>
  </si>
  <si>
    <t>CUST0075</t>
  </si>
  <si>
    <t>Prisha Sibal</t>
  </si>
  <si>
    <t>Rourkela</t>
  </si>
  <si>
    <t>CUST0076</t>
  </si>
  <si>
    <t>Urvi Oommen</t>
  </si>
  <si>
    <t>Alexander Venkatesh</t>
  </si>
  <si>
    <t>CUST0078</t>
  </si>
  <si>
    <t>Vansha Chakrabarti</t>
  </si>
  <si>
    <t>Hyderabad</t>
  </si>
  <si>
    <t>CUST0079</t>
  </si>
  <si>
    <t>Indali Prasad</t>
  </si>
  <si>
    <t>CUST0080</t>
  </si>
  <si>
    <t>Daksh Mital</t>
  </si>
  <si>
    <t>CUST0081</t>
  </si>
  <si>
    <t>Arya Apte</t>
  </si>
  <si>
    <t>CUST0082</t>
  </si>
  <si>
    <t>Odika Prakash</t>
  </si>
  <si>
    <t>CUST0083</t>
  </si>
  <si>
    <t>Warjas Gulati</t>
  </si>
  <si>
    <t>CUST0084</t>
  </si>
  <si>
    <t>Ekbal Ramachandran</t>
  </si>
  <si>
    <t>CUST0085</t>
  </si>
  <si>
    <t>Nicholas Mittal</t>
  </si>
  <si>
    <t>CUST0086</t>
  </si>
  <si>
    <t>Maanav Nath</t>
  </si>
  <si>
    <t>Thomas Lata</t>
  </si>
  <si>
    <t>Sachi Dalal</t>
  </si>
  <si>
    <t>CUST0089</t>
  </si>
  <si>
    <t>Yahvi Iyer</t>
  </si>
  <si>
    <t>CUST0090</t>
  </si>
  <si>
    <t>Yuvraj Swaminathan</t>
  </si>
  <si>
    <t>CUST0091</t>
  </si>
  <si>
    <t>Anthony Jayaraman</t>
  </si>
  <si>
    <t>Bengaluru</t>
  </si>
  <si>
    <t>CUST0092</t>
  </si>
  <si>
    <t>Divya Krishna</t>
  </si>
  <si>
    <t>Anjali Padmanabhan</t>
  </si>
  <si>
    <t>CUST0094</t>
  </si>
  <si>
    <t>Lavanya Jhaveri</t>
  </si>
  <si>
    <t>Wridesh Bhardwaj</t>
  </si>
  <si>
    <t>Netra Suri</t>
  </si>
  <si>
    <t>CUST0097</t>
  </si>
  <si>
    <t>Aarush Sani</t>
  </si>
  <si>
    <t>CUST0098</t>
  </si>
  <si>
    <t>Neel Sankar</t>
  </si>
  <si>
    <t>CUST0099</t>
  </si>
  <si>
    <t>Ranbir Sood</t>
  </si>
  <si>
    <t>Vasco da Gama</t>
  </si>
  <si>
    <t>CUST0100</t>
  </si>
  <si>
    <t>Charita Dey</t>
  </si>
  <si>
    <t>Sanya Dhar</t>
  </si>
  <si>
    <t>Wazir Naik</t>
  </si>
  <si>
    <t>CUST0103</t>
  </si>
  <si>
    <t>Leena Dhar</t>
  </si>
  <si>
    <t>Kozhikode</t>
  </si>
  <si>
    <t>Oviya Patla</t>
  </si>
  <si>
    <t>CUST0105</t>
  </si>
  <si>
    <t>Qadim Bedi</t>
  </si>
  <si>
    <t>Triveni Morar</t>
  </si>
  <si>
    <t>Mumbai</t>
  </si>
  <si>
    <t>CUST0107</t>
  </si>
  <si>
    <t>Jagrati Gill</t>
  </si>
  <si>
    <t>Ikshita Bajwa</t>
  </si>
  <si>
    <t>Lipika Sanghvi</t>
  </si>
  <si>
    <t>Maanav Hora</t>
  </si>
  <si>
    <t>CUST0111</t>
  </si>
  <si>
    <t>Rushil Bhattacharyya</t>
  </si>
  <si>
    <t>CUST0112</t>
  </si>
  <si>
    <t>Zehaan Rajan</t>
  </si>
  <si>
    <t>CUST0113</t>
  </si>
  <si>
    <t>Qarin Sule</t>
  </si>
  <si>
    <t>CUST0114</t>
  </si>
  <si>
    <t>Lakshit Sahni</t>
  </si>
  <si>
    <t>CUST0115</t>
  </si>
  <si>
    <t>Nidra Tank</t>
  </si>
  <si>
    <t>CUST0116</t>
  </si>
  <si>
    <t>Saanvi Shenoy</t>
  </si>
  <si>
    <t>Advaith Bakshi</t>
  </si>
  <si>
    <t>CUST0118</t>
  </si>
  <si>
    <t>Chanakya Ramakrishnan</t>
  </si>
  <si>
    <t>CUST0119</t>
  </si>
  <si>
    <t>Yauvani Swaminathan</t>
  </si>
  <si>
    <t>Durgapur</t>
  </si>
  <si>
    <t>CUST0120</t>
  </si>
  <si>
    <t>Raagini Krishna</t>
  </si>
  <si>
    <t>Nashik</t>
  </si>
  <si>
    <t>CUST0121</t>
  </si>
  <si>
    <t>Aadi Mane</t>
  </si>
  <si>
    <t>CUST0122</t>
  </si>
  <si>
    <t>Urvashi Tara</t>
  </si>
  <si>
    <t>Tiruchirappalli</t>
  </si>
  <si>
    <t>Balendra Lall</t>
  </si>
  <si>
    <t>Kevin Hari</t>
  </si>
  <si>
    <t>Madurai</t>
  </si>
  <si>
    <t>CUST0125</t>
  </si>
  <si>
    <t>Forum Babu</t>
  </si>
  <si>
    <t>Veer Sodhi</t>
  </si>
  <si>
    <t>Oscar Prabhakar</t>
  </si>
  <si>
    <t>CUST0128</t>
  </si>
  <si>
    <t>Laban Iyer</t>
  </si>
  <si>
    <t>CUST0129</t>
  </si>
  <si>
    <t>Amrita Halder</t>
  </si>
  <si>
    <t>CUST0130</t>
  </si>
  <si>
    <t>Mohini Pandey</t>
  </si>
  <si>
    <t>CUST0131</t>
  </si>
  <si>
    <t>Niharika Mandal</t>
  </si>
  <si>
    <t>CUST0132</t>
  </si>
  <si>
    <t>Neha Barad</t>
  </si>
  <si>
    <t>CUST0133</t>
  </si>
  <si>
    <t>Zayyan Parmar</t>
  </si>
  <si>
    <t>Laban Ghosh</t>
  </si>
  <si>
    <t>CUST0135</t>
  </si>
  <si>
    <t>Qasim Master</t>
  </si>
  <si>
    <t>Baljiwan Vala</t>
  </si>
  <si>
    <t>CUST0137</t>
  </si>
  <si>
    <t>Ati Chadha</t>
  </si>
  <si>
    <t>CUST0138</t>
  </si>
  <si>
    <t>Tanay Gade</t>
  </si>
  <si>
    <t>Veda Kibe</t>
  </si>
  <si>
    <t>Udarsh Chana</t>
  </si>
  <si>
    <t>CUST0141</t>
  </si>
  <si>
    <t>Hemangini Kapoor</t>
  </si>
  <si>
    <t>CUST0142</t>
  </si>
  <si>
    <t>Mitali Varma</t>
  </si>
  <si>
    <t>CUST0143</t>
  </si>
  <si>
    <t>Gopal Uppal</t>
  </si>
  <si>
    <t>CUST0144</t>
  </si>
  <si>
    <t>Udyati Bava</t>
  </si>
  <si>
    <t>Indore</t>
  </si>
  <si>
    <t>CUST0145</t>
  </si>
  <si>
    <t>Aarnav Ratta</t>
  </si>
  <si>
    <t>Andrew Prasad</t>
  </si>
  <si>
    <t>Tripti Memon</t>
  </si>
  <si>
    <t>Lila Yohannan</t>
  </si>
  <si>
    <t>Sarthak Goda</t>
  </si>
  <si>
    <t>Ishanvi Lad</t>
  </si>
  <si>
    <t>CUST0151</t>
  </si>
  <si>
    <t>Advik Pandya</t>
  </si>
  <si>
    <t>CUST0152</t>
  </si>
  <si>
    <t>Maya Sarkar</t>
  </si>
  <si>
    <t>Noida</t>
  </si>
  <si>
    <t>Michael Kibe</t>
  </si>
  <si>
    <t>Chaaya Shenoy</t>
  </si>
  <si>
    <t>Mitesh Raval</t>
  </si>
  <si>
    <t>CUST0156</t>
  </si>
  <si>
    <t>Pavani Chadha</t>
  </si>
  <si>
    <t>Mangalore</t>
  </si>
  <si>
    <t>CUST0157</t>
  </si>
  <si>
    <t>Shivansh Joshi</t>
  </si>
  <si>
    <t>CUST0158</t>
  </si>
  <si>
    <t>Daksh Chad</t>
  </si>
  <si>
    <t>Dayamai Batta</t>
  </si>
  <si>
    <t>Adya Shenoy</t>
  </si>
  <si>
    <t>Gaurav Dube</t>
  </si>
  <si>
    <t>CUST0162</t>
  </si>
  <si>
    <t>Ishwar Barman</t>
  </si>
  <si>
    <t>CUST0163</t>
  </si>
  <si>
    <t>Rachita Randhawa</t>
  </si>
  <si>
    <t>Chaman Lalla</t>
  </si>
  <si>
    <t>Nagpur</t>
  </si>
  <si>
    <t>CUST0165</t>
  </si>
  <si>
    <t>Anvi Vora</t>
  </si>
  <si>
    <t>CUST0166</t>
  </si>
  <si>
    <t>Ijaya Bahri</t>
  </si>
  <si>
    <t>CUST0167</t>
  </si>
  <si>
    <t>Ekaja Wali</t>
  </si>
  <si>
    <t>Jeevika Chana</t>
  </si>
  <si>
    <t>Zashil Ray</t>
  </si>
  <si>
    <t>CUST0170</t>
  </si>
  <si>
    <t>Jackson Dalal</t>
  </si>
  <si>
    <t>CUST0171</t>
  </si>
  <si>
    <t>Aarini Sachdeva</t>
  </si>
  <si>
    <t>Lila Thakkar</t>
  </si>
  <si>
    <t>Naksh Mishra</t>
  </si>
  <si>
    <t>CUST0174</t>
  </si>
  <si>
    <t>Rachita Mallick</t>
  </si>
  <si>
    <t>CUST0175</t>
  </si>
  <si>
    <t>Baljiwan Bhakta</t>
  </si>
  <si>
    <t>CUST0176</t>
  </si>
  <si>
    <t>Kamya Gera</t>
  </si>
  <si>
    <t>CUST0177</t>
  </si>
  <si>
    <t>Wyatt Ganguly</t>
  </si>
  <si>
    <t>CUST0178</t>
  </si>
  <si>
    <t>Manya Luthra</t>
  </si>
  <si>
    <t>Oni Kala</t>
  </si>
  <si>
    <t>CUST0180</t>
  </si>
  <si>
    <t>Fiyaz Garde</t>
  </si>
  <si>
    <t>Rayaan Joshi</t>
  </si>
  <si>
    <t>CUST0182</t>
  </si>
  <si>
    <t>Bhavani Naidu</t>
  </si>
  <si>
    <t>Orinder Dash</t>
  </si>
  <si>
    <t>CUST0184</t>
  </si>
  <si>
    <t>Lucky Bhat</t>
  </si>
  <si>
    <t>CUST0185</t>
  </si>
  <si>
    <t>Nitara Yohannan</t>
  </si>
  <si>
    <t>Mitesh Shere</t>
  </si>
  <si>
    <t>CUST0187</t>
  </si>
  <si>
    <t>Wyatt Devi</t>
  </si>
  <si>
    <t>CUST0188</t>
  </si>
  <si>
    <t>Chatresh Goel</t>
  </si>
  <si>
    <t>Quincy Arora</t>
  </si>
  <si>
    <t>Andrew Rege</t>
  </si>
  <si>
    <t>CUST0191</t>
  </si>
  <si>
    <t>Om Kota</t>
  </si>
  <si>
    <t>Mysuru</t>
  </si>
  <si>
    <t>Mahika Chaudhari</t>
  </si>
  <si>
    <t>CUST0193</t>
  </si>
  <si>
    <t>Chaitanya Jaggi</t>
  </si>
  <si>
    <t>Maya Kapoor</t>
  </si>
  <si>
    <t>Watika Raman</t>
  </si>
  <si>
    <t>CUST0196</t>
  </si>
  <si>
    <t>Jhalak Bobal</t>
  </si>
  <si>
    <t>CUST0197</t>
  </si>
  <si>
    <t>Quincy Hegde</t>
  </si>
  <si>
    <t>CUST0198</t>
  </si>
  <si>
    <t>Odika Bobal</t>
  </si>
  <si>
    <t>CUST0199</t>
  </si>
  <si>
    <t>Libni Kibe</t>
  </si>
  <si>
    <t>CUST0200</t>
  </si>
  <si>
    <t>Eiravati Narain</t>
  </si>
  <si>
    <t>CUST0201</t>
  </si>
  <si>
    <t>Faras Bal</t>
  </si>
  <si>
    <t>CUST0202</t>
  </si>
  <si>
    <t>Yash Kapadia</t>
  </si>
  <si>
    <t>CUST0203</t>
  </si>
  <si>
    <t>Priya Khosla</t>
  </si>
  <si>
    <t>CUST0204</t>
  </si>
  <si>
    <t>Karan Chandran</t>
  </si>
  <si>
    <t>CUST0205</t>
  </si>
  <si>
    <t>Ekaraj Morar</t>
  </si>
  <si>
    <t>CUST0206</t>
  </si>
  <si>
    <t>Quincy Radhakrishnan</t>
  </si>
  <si>
    <t>Kalpit Gill</t>
  </si>
  <si>
    <t>CUST0208</t>
  </si>
  <si>
    <t>Sarthak Hegde</t>
  </si>
  <si>
    <t>Chatresh Basu</t>
  </si>
  <si>
    <t>Udyati D’Alia</t>
  </si>
  <si>
    <t>Yuvraj Sundaram</t>
  </si>
  <si>
    <t>Agra</t>
  </si>
  <si>
    <t>Chandran Manne</t>
  </si>
  <si>
    <t>CUST0213</t>
  </si>
  <si>
    <t>Advay Mitra</t>
  </si>
  <si>
    <t>Nathaniel Sood</t>
  </si>
  <si>
    <t>Michael Vohra</t>
  </si>
  <si>
    <t>CUST0216</t>
  </si>
  <si>
    <t>Hemang Mander</t>
  </si>
  <si>
    <t>CUST0217</t>
  </si>
  <si>
    <t>Sara Dua</t>
  </si>
  <si>
    <t>CUST0218</t>
  </si>
  <si>
    <t>Krish Apte</t>
  </si>
  <si>
    <t>Isaac Mani</t>
  </si>
  <si>
    <t>Balhaar Raghavan</t>
  </si>
  <si>
    <t>CUST0221</t>
  </si>
  <si>
    <t>Radhika Gandhi</t>
  </si>
  <si>
    <t>Nandini Raj</t>
  </si>
  <si>
    <t>CUST0223</t>
  </si>
  <si>
    <t>Aryan Samra</t>
  </si>
  <si>
    <t>Vyanjana Lata</t>
  </si>
  <si>
    <t>CUST0225</t>
  </si>
  <si>
    <t>Ubika Deshpande</t>
  </si>
  <si>
    <t>Bhavika Chokshi</t>
  </si>
  <si>
    <t>Chennai</t>
  </si>
  <si>
    <t>Gopal Sodhi</t>
  </si>
  <si>
    <t>Chaitaly Kuruvilla</t>
  </si>
  <si>
    <t>CUST0229</t>
  </si>
  <si>
    <t>Siddharth Venkataraman</t>
  </si>
  <si>
    <t>CUST0230</t>
  </si>
  <si>
    <t>Advika Salvi</t>
  </si>
  <si>
    <t>Vivaan Vaidya</t>
  </si>
  <si>
    <t>CUST0232</t>
  </si>
  <si>
    <t>Maanas Pingle</t>
  </si>
  <si>
    <t>CUST0233</t>
  </si>
  <si>
    <t>Azaan Bhatia</t>
  </si>
  <si>
    <t>Kashvi Sarkar</t>
  </si>
  <si>
    <t>CUST0235</t>
  </si>
  <si>
    <t>Ryan Sama</t>
  </si>
  <si>
    <t>CUST0236</t>
  </si>
  <si>
    <t>Vidhi Varghese</t>
  </si>
  <si>
    <t>Joshua Bath</t>
  </si>
  <si>
    <t>CUST0238</t>
  </si>
  <si>
    <t>Rishi Sarna</t>
  </si>
  <si>
    <t>Faraj Lall</t>
  </si>
  <si>
    <t>CUST0240</t>
  </si>
  <si>
    <t>Ishanvi Parekh</t>
  </si>
  <si>
    <t>Rajata Sachar</t>
  </si>
  <si>
    <t>CUST0242</t>
  </si>
  <si>
    <t>Dhruv Ramanathan</t>
  </si>
  <si>
    <t>Champak Barad</t>
  </si>
  <si>
    <t>CUST0244</t>
  </si>
  <si>
    <t>Jackson Naidu</t>
  </si>
  <si>
    <t>Upma Shanker</t>
  </si>
  <si>
    <t>CUST0246</t>
  </si>
  <si>
    <t>Balhaar Mitra</t>
  </si>
  <si>
    <t>CUST0247</t>
  </si>
  <si>
    <t>Chakradev Mohanty</t>
  </si>
  <si>
    <t>CUST0248</t>
  </si>
  <si>
    <t>Pratyush Dixit</t>
  </si>
  <si>
    <t>Gopal Dara</t>
  </si>
  <si>
    <t>CUST0250</t>
  </si>
  <si>
    <t>Upadhriti Dave</t>
  </si>
  <si>
    <t>CUST0251</t>
  </si>
  <si>
    <t>Christopher Chad</t>
  </si>
  <si>
    <t>CUST0252</t>
  </si>
  <si>
    <t>Urvashi Raval</t>
  </si>
  <si>
    <t>Bhavna Raju</t>
  </si>
  <si>
    <t>Elijah Acharya</t>
  </si>
  <si>
    <t>Coimbatore</t>
  </si>
  <si>
    <t>Vihaan Soman</t>
  </si>
  <si>
    <t>Jeremiah Pau</t>
  </si>
  <si>
    <t>Nikita Chandra</t>
  </si>
  <si>
    <t>Siya Mander</t>
  </si>
  <si>
    <t>CUST0259</t>
  </si>
  <si>
    <t>Parth Jha</t>
  </si>
  <si>
    <t>CUST0260</t>
  </si>
  <si>
    <t>Thomas D’Alia</t>
  </si>
  <si>
    <t>CUST0261</t>
  </si>
  <si>
    <t>Jagvi Cheema</t>
  </si>
  <si>
    <t>Chanchal Date</t>
  </si>
  <si>
    <t>Chaman Raman</t>
  </si>
  <si>
    <t>CUST0264</t>
  </si>
  <si>
    <t>Harini Butala</t>
  </si>
  <si>
    <t>CUST0265</t>
  </si>
  <si>
    <t>Thomas Shah</t>
  </si>
  <si>
    <t>Jabalpur</t>
  </si>
  <si>
    <t>CUST0266</t>
  </si>
  <si>
    <t>Indira Patla</t>
  </si>
  <si>
    <t>Manthan Keer</t>
  </si>
  <si>
    <t>CUST0268</t>
  </si>
  <si>
    <t>Krisha Sarin</t>
  </si>
  <si>
    <t>Mason Dyal</t>
  </si>
  <si>
    <t>CUST0270</t>
  </si>
  <si>
    <t>Ronith Vyas</t>
  </si>
  <si>
    <t>CUST0271</t>
  </si>
  <si>
    <t>Isaiah Merchant</t>
  </si>
  <si>
    <t>CUST0272</t>
  </si>
  <si>
    <t>Vanya Devan</t>
  </si>
  <si>
    <t>Jaipur</t>
  </si>
  <si>
    <t>CUST0273</t>
  </si>
  <si>
    <t>Chasmum Mohan</t>
  </si>
  <si>
    <t>CUST0274</t>
  </si>
  <si>
    <t>Vidhi Karan</t>
  </si>
  <si>
    <t>CUST0275</t>
  </si>
  <si>
    <t>Chakrika Tata</t>
  </si>
  <si>
    <t>CUST0276</t>
  </si>
  <si>
    <t>Ishanvi Gokhale</t>
  </si>
  <si>
    <t>CUST0277</t>
  </si>
  <si>
    <t>Darika Butala</t>
  </si>
  <si>
    <t>Geetika Badal</t>
  </si>
  <si>
    <t>Aadhya Deol</t>
  </si>
  <si>
    <t>CUST0280</t>
  </si>
  <si>
    <t>Harini Gulati</t>
  </si>
  <si>
    <t>CUST0281</t>
  </si>
  <si>
    <t>Abhimanyu Kaur</t>
  </si>
  <si>
    <t>Harsh Hora</t>
  </si>
  <si>
    <t>Janani Nanda</t>
  </si>
  <si>
    <t>CUST0284</t>
  </si>
  <si>
    <t>Nitesh Parmer</t>
  </si>
  <si>
    <t>Zilmil Sami</t>
  </si>
  <si>
    <t>CUST0286</t>
  </si>
  <si>
    <t>Chameli Arora</t>
  </si>
  <si>
    <t>Tanay Kaul</t>
  </si>
  <si>
    <t>CUST0288</t>
  </si>
  <si>
    <t>Mitali Bajwa</t>
  </si>
  <si>
    <t>Zilmil Dua</t>
  </si>
  <si>
    <t>CUST0290</t>
  </si>
  <si>
    <t>Anita Chaudhuri</t>
  </si>
  <si>
    <t>CUST0291</t>
  </si>
  <si>
    <t>Triveni Kurian</t>
  </si>
  <si>
    <t>CUST0292</t>
  </si>
  <si>
    <t>Zayan Johal</t>
  </si>
  <si>
    <t>Krishna Solanki</t>
  </si>
  <si>
    <t>CUST0294</t>
  </si>
  <si>
    <t>Theodore Dugar</t>
  </si>
  <si>
    <t>Mason Kothari</t>
  </si>
  <si>
    <t>Nisha Nadig</t>
  </si>
  <si>
    <t>Hemal Sagar</t>
  </si>
  <si>
    <t>CUST0298</t>
  </si>
  <si>
    <t>Theodore Sur</t>
  </si>
  <si>
    <t>CUST0299</t>
  </si>
  <si>
    <t>Hitesh Bhardwaj</t>
  </si>
  <si>
    <t>CUST0300</t>
  </si>
  <si>
    <t>Alka Borra</t>
  </si>
  <si>
    <t>CUST0301</t>
  </si>
  <si>
    <t>Geetika Ramesh</t>
  </si>
  <si>
    <t>CUST0302</t>
  </si>
  <si>
    <t>Ikbal Yohannan</t>
  </si>
  <si>
    <t>CUST0303</t>
  </si>
  <si>
    <t>Hemani Peri</t>
  </si>
  <si>
    <t>Anay Bath</t>
  </si>
  <si>
    <t>Anita Dugal</t>
  </si>
  <si>
    <t>CUST0306</t>
  </si>
  <si>
    <t>Yauvani Kannan</t>
  </si>
  <si>
    <t>CUST0307</t>
  </si>
  <si>
    <t>Tarak Ramesh</t>
  </si>
  <si>
    <t>CUST0308</t>
  </si>
  <si>
    <t>Daniel Pillay</t>
  </si>
  <si>
    <t>CUST0309</t>
  </si>
  <si>
    <t>Ucchal Gola</t>
  </si>
  <si>
    <t>CUST0310</t>
  </si>
  <si>
    <t>Priya Mukhopadhyay</t>
  </si>
  <si>
    <t>CUST0311</t>
  </si>
  <si>
    <t>Yashica Balakrishnan</t>
  </si>
  <si>
    <t>Andrew Jain</t>
  </si>
  <si>
    <t>Ojas Wable</t>
  </si>
  <si>
    <t>CUST0314</t>
  </si>
  <si>
    <t>Wahab Vyas</t>
  </si>
  <si>
    <t>CUST0315</t>
  </si>
  <si>
    <t>Lajita Kothari</t>
  </si>
  <si>
    <t>Sathvik Dhar</t>
  </si>
  <si>
    <t>CUST0317</t>
  </si>
  <si>
    <t>Vidhi Gara</t>
  </si>
  <si>
    <t>CUST0318</t>
  </si>
  <si>
    <t>Samaksh Venkataraman</t>
  </si>
  <si>
    <t>CUST0319</t>
  </si>
  <si>
    <t>Aarav Kota</t>
  </si>
  <si>
    <t>Chaman Patla</t>
  </si>
  <si>
    <t>Agastya Tailor</t>
  </si>
  <si>
    <t>CUST0322</t>
  </si>
  <si>
    <t>Ishanvi Nagy</t>
  </si>
  <si>
    <t>Alexander Hari</t>
  </si>
  <si>
    <t>Owen Pillay</t>
  </si>
  <si>
    <t>CUST0325</t>
  </si>
  <si>
    <t>Lipika Sem</t>
  </si>
  <si>
    <t>Oliver Sarna</t>
  </si>
  <si>
    <t>CUST0327</t>
  </si>
  <si>
    <t>Vamakshi Mukherjee</t>
  </si>
  <si>
    <t>CUST0328</t>
  </si>
  <si>
    <t>Widisha Grewal</t>
  </si>
  <si>
    <t>CUST0329</t>
  </si>
  <si>
    <t>Rishi Sandhu</t>
  </si>
  <si>
    <t>CUST0330</t>
  </si>
  <si>
    <t>Gabriel Chauhan</t>
  </si>
  <si>
    <t>CUST0331</t>
  </si>
  <si>
    <t>Rushil Chaudry</t>
  </si>
  <si>
    <t>CUST0332</t>
  </si>
  <si>
    <t>Advaith Korpal</t>
  </si>
  <si>
    <t>CUST0333</t>
  </si>
  <si>
    <t>Waida Bumb</t>
  </si>
  <si>
    <t>CUST0334</t>
  </si>
  <si>
    <t>Kashvi Korpal</t>
  </si>
  <si>
    <t>Vinaya Pai</t>
  </si>
  <si>
    <t>Avi Thaman</t>
  </si>
  <si>
    <t>CUST0337</t>
  </si>
  <si>
    <t>Vyanjana Bath</t>
  </si>
  <si>
    <t>Hema Om</t>
  </si>
  <si>
    <t>CUST0339</t>
  </si>
  <si>
    <t>Amrita Mangal</t>
  </si>
  <si>
    <t>David Rajagopal</t>
  </si>
  <si>
    <t>Madhav Mohanty</t>
  </si>
  <si>
    <t>CUST0342</t>
  </si>
  <si>
    <t>Dipta Bajwa</t>
  </si>
  <si>
    <t>CUST0343</t>
  </si>
  <si>
    <t>Daksha Tata</t>
  </si>
  <si>
    <t>CUST0344</t>
  </si>
  <si>
    <t>Ucchal Bains</t>
  </si>
  <si>
    <t>CUST0345</t>
  </si>
  <si>
    <t>Bishakha Kari</t>
  </si>
  <si>
    <t>Ayaan Biswas</t>
  </si>
  <si>
    <t>Abha Chahal</t>
  </si>
  <si>
    <t>CUST0348</t>
  </si>
  <si>
    <t>Ethan Bail</t>
  </si>
  <si>
    <t>CUST0349</t>
  </si>
  <si>
    <t>Chaaya Menon</t>
  </si>
  <si>
    <t>Abha Sharma</t>
  </si>
  <si>
    <t>CUST0351</t>
  </si>
  <si>
    <t>Veer D’Alia</t>
  </si>
  <si>
    <t>CUST0352</t>
  </si>
  <si>
    <t>Geetika Mannan</t>
  </si>
  <si>
    <t>Nimrat Vora</t>
  </si>
  <si>
    <t>CUST0354</t>
  </si>
  <si>
    <t>Ethan Gola</t>
  </si>
  <si>
    <t>CUST0355</t>
  </si>
  <si>
    <t>Yash Sastry</t>
  </si>
  <si>
    <t>CUST0356</t>
  </si>
  <si>
    <t>Yasti Ram</t>
  </si>
  <si>
    <t>Kevin Bhatnagar</t>
  </si>
  <si>
    <t>CUST0358</t>
  </si>
  <si>
    <t>Eta Gole</t>
  </si>
  <si>
    <t>Omkaar Halder</t>
  </si>
  <si>
    <t>CUST0360</t>
  </si>
  <si>
    <t>Vrishti Sinha</t>
  </si>
  <si>
    <t>Rajata Suresh</t>
  </si>
  <si>
    <t>Odika Dugal</t>
  </si>
  <si>
    <t>Maanas Ganesan</t>
  </si>
  <si>
    <t>Ayaan Golla</t>
  </si>
  <si>
    <t>Adweta Nagar</t>
  </si>
  <si>
    <t>CUST0366</t>
  </si>
  <si>
    <t>Balveer Choudhary</t>
  </si>
  <si>
    <t>CUST0367</t>
  </si>
  <si>
    <t>Veda Dutta</t>
  </si>
  <si>
    <t>Oliver Mangal</t>
  </si>
  <si>
    <t>Balhaar Ravel</t>
  </si>
  <si>
    <t>CUST0370</t>
  </si>
  <si>
    <t>Gautam Thaman</t>
  </si>
  <si>
    <t>CUST0371</t>
  </si>
  <si>
    <t>Onkar Bal</t>
  </si>
  <si>
    <t>CUST0372</t>
  </si>
  <si>
    <t>Jeet Bhavsar</t>
  </si>
  <si>
    <t>Omkaar Dyal</t>
  </si>
  <si>
    <t>Shravya Babu</t>
  </si>
  <si>
    <t>CUST0375</t>
  </si>
  <si>
    <t>Pavani Prasad</t>
  </si>
  <si>
    <t>CUST0376</t>
  </si>
  <si>
    <t>Aryan Tank</t>
  </si>
  <si>
    <t>CUST0377</t>
  </si>
  <si>
    <t>Falan Shankar</t>
  </si>
  <si>
    <t>CUST0378</t>
  </si>
  <si>
    <t>Lipika Bhatti</t>
  </si>
  <si>
    <t>CUST0379</t>
  </si>
  <si>
    <t>Ekani Badal</t>
  </si>
  <si>
    <t>CUST0380</t>
  </si>
  <si>
    <t>Meera Vora</t>
  </si>
  <si>
    <t>CUST0381</t>
  </si>
  <si>
    <t>Kabir Nori</t>
  </si>
  <si>
    <t>CUST0382</t>
  </si>
  <si>
    <t>Rajeshri Bhat</t>
  </si>
  <si>
    <t>Mekhala Vaidya</t>
  </si>
  <si>
    <t>CUST0384</t>
  </si>
  <si>
    <t>Farhan Dhaliwal</t>
  </si>
  <si>
    <t>Anay Babu</t>
  </si>
  <si>
    <t>Baghyawati Sampath</t>
  </si>
  <si>
    <t>CUST0387</t>
  </si>
  <si>
    <t>Amruta Sachdev</t>
  </si>
  <si>
    <t>CUST0388</t>
  </si>
  <si>
    <t>Sara Varughese</t>
  </si>
  <si>
    <t>CUST0389</t>
  </si>
  <si>
    <t>Chaitaly Deo</t>
  </si>
  <si>
    <t>CUST0390</t>
  </si>
  <si>
    <t>Jacob Chandran</t>
  </si>
  <si>
    <t>Udant Sheth</t>
  </si>
  <si>
    <t>Unni Dua</t>
  </si>
  <si>
    <t>CUST0393</t>
  </si>
  <si>
    <t>Aarush Balasubramanian</t>
  </si>
  <si>
    <t>CUST0394</t>
  </si>
  <si>
    <t>Akshay Kala</t>
  </si>
  <si>
    <t>Oni Chahal</t>
  </si>
  <si>
    <t>Rajata Shroff</t>
  </si>
  <si>
    <t>CUST0397</t>
  </si>
  <si>
    <t>Zashil Sridhar</t>
  </si>
  <si>
    <t>Pratyush Golla</t>
  </si>
  <si>
    <t>CUST0399</t>
  </si>
  <si>
    <t>Darsh Sem</t>
  </si>
  <si>
    <t>Zansi Raja</t>
  </si>
  <si>
    <t>Arunima Chahal</t>
  </si>
  <si>
    <t>Adweta Shanker</t>
  </si>
  <si>
    <t>Frado Raval</t>
  </si>
  <si>
    <t>Dhruv Parmer</t>
  </si>
  <si>
    <t>Naksh Sani</t>
  </si>
  <si>
    <t>Oviya Parikh</t>
  </si>
  <si>
    <t>CUST0407</t>
  </si>
  <si>
    <t>Anvi Gopal</t>
  </si>
  <si>
    <t>CUST0408</t>
  </si>
  <si>
    <t>Arin Lata</t>
  </si>
  <si>
    <t>CUST0409</t>
  </si>
  <si>
    <t>Mitali Nadkarni</t>
  </si>
  <si>
    <t>CUST0410</t>
  </si>
  <si>
    <t>Yadavi Dave</t>
  </si>
  <si>
    <t>Zilmil Saraf</t>
  </si>
  <si>
    <t>CUST0412</t>
  </si>
  <si>
    <t>Shivansh Wadhwa</t>
  </si>
  <si>
    <t>CUST0413</t>
  </si>
  <si>
    <t>Rudra Gokhale</t>
  </si>
  <si>
    <t>CUST0414</t>
  </si>
  <si>
    <t>Ishaan Narasimhan</t>
  </si>
  <si>
    <t>Baljiwan Ramesh</t>
  </si>
  <si>
    <t>CUST0416</t>
  </si>
  <si>
    <t>Viraj Date</t>
  </si>
  <si>
    <t>CUST0417</t>
  </si>
  <si>
    <t>Jhalak Dey</t>
  </si>
  <si>
    <t>CUST0418</t>
  </si>
  <si>
    <t>Bimala Parekh</t>
  </si>
  <si>
    <t>CUST0419</t>
  </si>
  <si>
    <t>Aarav Kadakia</t>
  </si>
  <si>
    <t>CUST0420</t>
  </si>
  <si>
    <t>Gauri Peri</t>
  </si>
  <si>
    <t>CUST0421</t>
  </si>
  <si>
    <t>Nisha Apte</t>
  </si>
  <si>
    <t>Agastya Iyengar</t>
  </si>
  <si>
    <t>Nidhi Keer</t>
  </si>
  <si>
    <t>CUST0424</t>
  </si>
  <si>
    <t>Bina Oommen</t>
  </si>
  <si>
    <t>CUST0425</t>
  </si>
  <si>
    <t>Aditya Shan</t>
  </si>
  <si>
    <t>Naveen Bava</t>
  </si>
  <si>
    <t>CUST0427</t>
  </si>
  <si>
    <t>Falak Misra</t>
  </si>
  <si>
    <t>Omaja Munshi</t>
  </si>
  <si>
    <t>CUST0429</t>
  </si>
  <si>
    <t>Deepa Bobal</t>
  </si>
  <si>
    <t>CUST0430</t>
  </si>
  <si>
    <t>Avni Lad</t>
  </si>
  <si>
    <t>CUST0431</t>
  </si>
  <si>
    <t>Chandresh Merchant</t>
  </si>
  <si>
    <t>Nisha Sankar</t>
  </si>
  <si>
    <t>CUST0433</t>
  </si>
  <si>
    <t>Alka Baria</t>
  </si>
  <si>
    <t>CUST0434</t>
  </si>
  <si>
    <t>Vyanjana Madan</t>
  </si>
  <si>
    <t>CUST0435</t>
  </si>
  <si>
    <t>Om Sachdeva</t>
  </si>
  <si>
    <t>CUST0436</t>
  </si>
  <si>
    <t>Hemang Tandon</t>
  </si>
  <si>
    <t>CUST0437</t>
  </si>
  <si>
    <t>Ekavir Lata</t>
  </si>
  <si>
    <t>CUST0438</t>
  </si>
  <si>
    <t>Irya Raval</t>
  </si>
  <si>
    <t>CUST0439</t>
  </si>
  <si>
    <t>Pooja Deo</t>
  </si>
  <si>
    <t>CUST0440</t>
  </si>
  <si>
    <t>Ekalinga Seshadri</t>
  </si>
  <si>
    <t>Nachiket Saraf</t>
  </si>
  <si>
    <t>CUST0442</t>
  </si>
  <si>
    <t>Anamika Chaudhry</t>
  </si>
  <si>
    <t>Ijaya Nath</t>
  </si>
  <si>
    <t>Neelima Chandra</t>
  </si>
  <si>
    <t>CUST0445</t>
  </si>
  <si>
    <t>Manan Parmar</t>
  </si>
  <si>
    <t>CUST0446</t>
  </si>
  <si>
    <t>Balhaar Zachariah</t>
  </si>
  <si>
    <t>CUST0447</t>
  </si>
  <si>
    <t>Chanakya Subramaniam</t>
  </si>
  <si>
    <t>Tanay Sharma</t>
  </si>
  <si>
    <t>Daksh Shah</t>
  </si>
  <si>
    <t>CUST0450</t>
  </si>
  <si>
    <t>Vansha Ghose</t>
  </si>
  <si>
    <t>Samaksh Thakur</t>
  </si>
  <si>
    <t>CUST0452</t>
  </si>
  <si>
    <t>Mitali Pai</t>
  </si>
  <si>
    <t>Ucchal Shere</t>
  </si>
  <si>
    <t>Nidhi Pau</t>
  </si>
  <si>
    <t>CUST0455</t>
  </si>
  <si>
    <t>Yochana Chaudhari</t>
  </si>
  <si>
    <t>CUST0456</t>
  </si>
  <si>
    <t>Chakradev Nagar</t>
  </si>
  <si>
    <t>CUST0457</t>
  </si>
  <si>
    <t>Chameli Bajwa</t>
  </si>
  <si>
    <t>CUST0458</t>
  </si>
  <si>
    <t>Onkar Kapur</t>
  </si>
  <si>
    <t>CUST0459</t>
  </si>
  <si>
    <t>Warinder De</t>
  </si>
  <si>
    <t>CUST0460</t>
  </si>
  <si>
    <t>Hema Borra</t>
  </si>
  <si>
    <t>Aarna Nori</t>
  </si>
  <si>
    <t>CUST0462</t>
  </si>
  <si>
    <t>Lila Naik</t>
  </si>
  <si>
    <t>Onveer Anne</t>
  </si>
  <si>
    <t>Simon Subramaniam</t>
  </si>
  <si>
    <t>CUST0465</t>
  </si>
  <si>
    <t>Maanas Sundaram</t>
  </si>
  <si>
    <t>Daksha Sahota</t>
  </si>
  <si>
    <t>Jairaj Sankar</t>
  </si>
  <si>
    <t>CUST0468</t>
  </si>
  <si>
    <t>Daksha Gole</t>
  </si>
  <si>
    <t>CUST0469</t>
  </si>
  <si>
    <t>Rishi Chakrabarti</t>
  </si>
  <si>
    <t>Chatura Chandra</t>
  </si>
  <si>
    <t>CUST0471</t>
  </si>
  <si>
    <t>Karan Kanda</t>
  </si>
  <si>
    <t>CUST0472</t>
  </si>
  <si>
    <t>Qabil Mallick</t>
  </si>
  <si>
    <t>CUST0473</t>
  </si>
  <si>
    <t>Gautam Oak</t>
  </si>
  <si>
    <t>CUST0474</t>
  </si>
  <si>
    <t>Upadhriti Ray</t>
  </si>
  <si>
    <t>CUST0475</t>
  </si>
  <si>
    <t>Garima Bajaj</t>
  </si>
  <si>
    <t>CUST0476</t>
  </si>
  <si>
    <t>Radhika Shankar</t>
  </si>
  <si>
    <t>Eesha Jayaraman</t>
  </si>
  <si>
    <t>CUST0478</t>
  </si>
  <si>
    <t>Gaurika Chauhan</t>
  </si>
  <si>
    <t>Champak Bera</t>
  </si>
  <si>
    <t>CUST0480</t>
  </si>
  <si>
    <t>Niharika Choudhry</t>
  </si>
  <si>
    <t>CUST0481</t>
  </si>
  <si>
    <t>Unni Sarin</t>
  </si>
  <si>
    <t>CUST0482</t>
  </si>
  <si>
    <t>Dalaja Pandit</t>
  </si>
  <si>
    <t>Reva Lal</t>
  </si>
  <si>
    <t>CUST0484</t>
  </si>
  <si>
    <t>Nandini Dalal</t>
  </si>
  <si>
    <t>CUST0485</t>
  </si>
  <si>
    <t>Amara Bail</t>
  </si>
  <si>
    <t>Jalsa Subramanian</t>
  </si>
  <si>
    <t>CUST0487</t>
  </si>
  <si>
    <t>David Sharma</t>
  </si>
  <si>
    <t>CUST0488</t>
  </si>
  <si>
    <t>Ayushman Nori</t>
  </si>
  <si>
    <t>CUST0489</t>
  </si>
  <si>
    <t>Indali Suri</t>
  </si>
  <si>
    <t>CUST0490</t>
  </si>
  <si>
    <t>Madhavi Dhar</t>
  </si>
  <si>
    <t>CUST0491</t>
  </si>
  <si>
    <t>Diya Banik</t>
  </si>
  <si>
    <t>CUST0492</t>
  </si>
  <si>
    <t>Xavier Khalsa</t>
  </si>
  <si>
    <t>CUST0493</t>
  </si>
  <si>
    <t>Dayita Shanker</t>
  </si>
  <si>
    <t>Tristan Bedi</t>
  </si>
  <si>
    <t>CUST0495</t>
  </si>
  <si>
    <t>Widisha Bora</t>
  </si>
  <si>
    <t>CUST0496</t>
  </si>
  <si>
    <t>Upma Sidhu</t>
  </si>
  <si>
    <t>Vincent Sani</t>
  </si>
  <si>
    <t>Gaurangi Bawa</t>
  </si>
  <si>
    <t>Guneet Mander</t>
  </si>
  <si>
    <t>CUST0500</t>
  </si>
  <si>
    <t>Thomas Bhattacharyya</t>
  </si>
  <si>
    <t>Charita Goyal</t>
  </si>
  <si>
    <t>Dalaja Contractor</t>
  </si>
  <si>
    <t>CUST0503</t>
  </si>
  <si>
    <t>Peter Pathak</t>
  </si>
  <si>
    <t>CUST0504</t>
  </si>
  <si>
    <t>Girindra Anand</t>
  </si>
  <si>
    <t>Kashish Mall</t>
  </si>
  <si>
    <t>CUST0506</t>
  </si>
  <si>
    <t>Bhavika Karnik</t>
  </si>
  <si>
    <t>CUST0507</t>
  </si>
  <si>
    <t>Sanya Chakrabarti</t>
  </si>
  <si>
    <t>Raagini Bawa</t>
  </si>
  <si>
    <t>CUST0509</t>
  </si>
  <si>
    <t>Bhavna Gara</t>
  </si>
  <si>
    <t>Gauri Pradhan</t>
  </si>
  <si>
    <t>CUST0511</t>
  </si>
  <si>
    <t>Udarsh Konda</t>
  </si>
  <si>
    <t>Varenya Patla</t>
  </si>
  <si>
    <t>Simon Sheth</t>
  </si>
  <si>
    <t>Diya Rastogi</t>
  </si>
  <si>
    <t>CUST0515</t>
  </si>
  <si>
    <t>Parth Puri</t>
  </si>
  <si>
    <t>CUST0516</t>
  </si>
  <si>
    <t>Yachana Saraf</t>
  </si>
  <si>
    <t>CUST0517</t>
  </si>
  <si>
    <t>Sarthak Dhar</t>
  </si>
  <si>
    <t>CUST0518</t>
  </si>
  <si>
    <t>Fitan Madan</t>
  </si>
  <si>
    <t>CUST0519</t>
  </si>
  <si>
    <t>Vrishti Puri</t>
  </si>
  <si>
    <t>CUST0520</t>
  </si>
  <si>
    <t>Bhavna Sarin</t>
  </si>
  <si>
    <t>CUST0521</t>
  </si>
  <si>
    <t>Rachita Munshi</t>
  </si>
  <si>
    <t>Harini Salvi</t>
  </si>
  <si>
    <t>CUST0523</t>
  </si>
  <si>
    <t>Mugdha Samra</t>
  </si>
  <si>
    <t>Samaksh Pathak</t>
  </si>
  <si>
    <t>Vansha Wason</t>
  </si>
  <si>
    <t>CUST0526</t>
  </si>
  <si>
    <t>Jhalak Sarkar</t>
  </si>
  <si>
    <t>CUST0527</t>
  </si>
  <si>
    <t>Gaurang Kata</t>
  </si>
  <si>
    <t>CUST0528</t>
  </si>
  <si>
    <t>Bachittar Sule</t>
  </si>
  <si>
    <t>CUST0529</t>
  </si>
  <si>
    <t>Abhiram Krishna</t>
  </si>
  <si>
    <t>CUST0530</t>
  </si>
  <si>
    <t>Oni Gokhale</t>
  </si>
  <si>
    <t>CUST0531</t>
  </si>
  <si>
    <t>Daksha Agate</t>
  </si>
  <si>
    <t>CUST0532</t>
  </si>
  <si>
    <t>Parth Parsa</t>
  </si>
  <si>
    <t>Ekbal Gole</t>
  </si>
  <si>
    <t>CUST0534</t>
  </si>
  <si>
    <t>Lipika Devan</t>
  </si>
  <si>
    <t>Utkarsh Edwin</t>
  </si>
  <si>
    <t>Udarsh Pillai</t>
  </si>
  <si>
    <t>CUST0537</t>
  </si>
  <si>
    <t>Warinder Taneja</t>
  </si>
  <si>
    <t>CUST0538</t>
  </si>
  <si>
    <t>Sneha Sangha</t>
  </si>
  <si>
    <t>CUST0539</t>
  </si>
  <si>
    <t>Ladli Hari</t>
  </si>
  <si>
    <t>CUST0540</t>
  </si>
  <si>
    <t>Udant Barad</t>
  </si>
  <si>
    <t>CUST0541</t>
  </si>
  <si>
    <t>Sanya Issac</t>
  </si>
  <si>
    <t>CUST0542</t>
  </si>
  <si>
    <t>Yatin Bhatt</t>
  </si>
  <si>
    <t>CUST0543</t>
  </si>
  <si>
    <t>Aarnav Chawla</t>
  </si>
  <si>
    <t>CUST0544</t>
  </si>
  <si>
    <t>Kai Mani</t>
  </si>
  <si>
    <t>CUST0545</t>
  </si>
  <si>
    <t>Bahadurjit Ghosh</t>
  </si>
  <si>
    <t>CUST0546</t>
  </si>
  <si>
    <t>Gautam Chahal</t>
  </si>
  <si>
    <t>Aachal Sarraf</t>
  </si>
  <si>
    <t>CUST0548</t>
  </si>
  <si>
    <t>Harinakshi Chaudhari</t>
  </si>
  <si>
    <t>CUST0549</t>
  </si>
  <si>
    <t>Madhav Ramaswamy</t>
  </si>
  <si>
    <t>CUST0550</t>
  </si>
  <si>
    <t>Rudra Kamdar</t>
  </si>
  <si>
    <t>CUST0551</t>
  </si>
  <si>
    <t>Amara Roy</t>
  </si>
  <si>
    <t>Jackson Kaul</t>
  </si>
  <si>
    <t>CUST0553</t>
  </si>
  <si>
    <t>Kabir Rao</t>
  </si>
  <si>
    <t>CUST0554</t>
  </si>
  <si>
    <t>Jatin Kala</t>
  </si>
  <si>
    <t>Vamakshi Narayanan</t>
  </si>
  <si>
    <t>CUST0556</t>
  </si>
  <si>
    <t>Ryan Sinha</t>
  </si>
  <si>
    <t>CUST0557</t>
  </si>
  <si>
    <t>Azad Shukla</t>
  </si>
  <si>
    <t>Warjas Khalsa</t>
  </si>
  <si>
    <t>Yashica Saxena</t>
  </si>
  <si>
    <t>CUST0560</t>
  </si>
  <si>
    <t>Aishani Parekh</t>
  </si>
  <si>
    <t>CUST0561</t>
  </si>
  <si>
    <t>Ekaja Ratti</t>
  </si>
  <si>
    <t>CUST0562</t>
  </si>
  <si>
    <t>Jagrati Bala</t>
  </si>
  <si>
    <t>Manan Golla</t>
  </si>
  <si>
    <t>CUST0564</t>
  </si>
  <si>
    <t>Vyanjana Mani</t>
  </si>
  <si>
    <t>CUST0565</t>
  </si>
  <si>
    <t>Vritti Nazareth</t>
  </si>
  <si>
    <t>CUST0566</t>
  </si>
  <si>
    <t>Rohan Kashyap</t>
  </si>
  <si>
    <t>CUST0567</t>
  </si>
  <si>
    <t>Dalaja Dugar</t>
  </si>
  <si>
    <t>CUST0568</t>
  </si>
  <si>
    <t>Ekiya Pandya</t>
  </si>
  <si>
    <t>CUST0569</t>
  </si>
  <si>
    <t>Hamsini Kapur</t>
  </si>
  <si>
    <t>CUST0570</t>
  </si>
  <si>
    <t>Naksh Arora</t>
  </si>
  <si>
    <t>CUST0571</t>
  </si>
  <si>
    <t>Faris Bawa</t>
  </si>
  <si>
    <t>CUST0572</t>
  </si>
  <si>
    <t>Vansha Lall</t>
  </si>
  <si>
    <t>CUST0573</t>
  </si>
  <si>
    <t>Praneel Madan</t>
  </si>
  <si>
    <t>CUST0574</t>
  </si>
  <si>
    <t>Mekhala Hari</t>
  </si>
  <si>
    <t>CUST0575</t>
  </si>
  <si>
    <t>Faraj Jhaveri</t>
  </si>
  <si>
    <t>CUST0576</t>
  </si>
  <si>
    <t>Oscar Basu</t>
  </si>
  <si>
    <t>Henry Mani</t>
  </si>
  <si>
    <t>CUST0578</t>
  </si>
  <si>
    <t>Barkha Deep</t>
  </si>
  <si>
    <t>CUST0579</t>
  </si>
  <si>
    <t>Harini Issac</t>
  </si>
  <si>
    <t>CUST0580</t>
  </si>
  <si>
    <t>Dakshesh Mand</t>
  </si>
  <si>
    <t>Baghyawati Sidhu</t>
  </si>
  <si>
    <t>Yauvani Dara</t>
  </si>
  <si>
    <t>Mitali Sagar</t>
  </si>
  <si>
    <t>CUST0584</t>
  </si>
  <si>
    <t>Chavvi Som</t>
  </si>
  <si>
    <t>CUST0585</t>
  </si>
  <si>
    <t>Rohan Memon</t>
  </si>
  <si>
    <t>CUST0586</t>
  </si>
  <si>
    <t>Urvashi Kalita</t>
  </si>
  <si>
    <t>CUST0587</t>
  </si>
  <si>
    <t>Owen Nagy</t>
  </si>
  <si>
    <t>CUST0588</t>
  </si>
  <si>
    <t>Prisha Srinivas</t>
  </si>
  <si>
    <t>Bishakha Badal</t>
  </si>
  <si>
    <t>CUST0590</t>
  </si>
  <si>
    <t>Raagini Ravel</t>
  </si>
  <si>
    <t>CUST0591</t>
  </si>
  <si>
    <t>Anya Baria</t>
  </si>
  <si>
    <t>CUST0592</t>
  </si>
  <si>
    <t>Maanav Tank</t>
  </si>
  <si>
    <t>CUST0593</t>
  </si>
  <si>
    <t>Yochana Zachariah</t>
  </si>
  <si>
    <t>CUST0594</t>
  </si>
  <si>
    <t>Gaurika Bhatnagar</t>
  </si>
  <si>
    <t>CUST0595</t>
  </si>
  <si>
    <t>Jyoti Baral</t>
  </si>
  <si>
    <t>Anthony Bhardwaj</t>
  </si>
  <si>
    <t>CUST0597</t>
  </si>
  <si>
    <t>Saksham Ravi</t>
  </si>
  <si>
    <t>CUST0598</t>
  </si>
  <si>
    <t>Banjeet Dugar</t>
  </si>
  <si>
    <t>CUST0599</t>
  </si>
  <si>
    <t>Lipika Viswanathan</t>
  </si>
  <si>
    <t>Tanveer Nori</t>
  </si>
  <si>
    <t>CUST0601</t>
  </si>
  <si>
    <t>Yachana Oommen</t>
  </si>
  <si>
    <t>CUST0602</t>
  </si>
  <si>
    <t>Rehaan Munshi</t>
  </si>
  <si>
    <t>CUST0603</t>
  </si>
  <si>
    <t>Vihaan Ravi</t>
  </si>
  <si>
    <t>CUST0604</t>
  </si>
  <si>
    <t>Lopa Pillai</t>
  </si>
  <si>
    <t>CUST0605</t>
  </si>
  <si>
    <t>Fitan Tella</t>
  </si>
  <si>
    <t>CUST0606</t>
  </si>
  <si>
    <t>Jason Munshi</t>
  </si>
  <si>
    <t>CUST0607</t>
  </si>
  <si>
    <t>Aarav Samra</t>
  </si>
  <si>
    <t>Kalpit Murthy</t>
  </si>
  <si>
    <t>CUST0609</t>
  </si>
  <si>
    <t>Owen Narang</t>
  </si>
  <si>
    <t>Ojas Rege</t>
  </si>
  <si>
    <t>Upma Chander</t>
  </si>
  <si>
    <t>Ayushman Gola</t>
  </si>
  <si>
    <t>CUST0613</t>
  </si>
  <si>
    <t>Ekbal Roy</t>
  </si>
  <si>
    <t>CUST0614</t>
  </si>
  <si>
    <t>Chameli Tiwari</t>
  </si>
  <si>
    <t>Rohan Tella</t>
  </si>
  <si>
    <t>CUST0616</t>
  </si>
  <si>
    <t>Lucky Acharya</t>
  </si>
  <si>
    <t>CUST0617</t>
  </si>
  <si>
    <t>Sai Bahl</t>
  </si>
  <si>
    <t>CUST0618</t>
  </si>
  <si>
    <t>Ishwar Shere</t>
  </si>
  <si>
    <t>CUST0619</t>
  </si>
  <si>
    <t>Lavanya Warrior</t>
  </si>
  <si>
    <t>CUST0620</t>
  </si>
  <si>
    <t>Gautami Rajagopal</t>
  </si>
  <si>
    <t>CUST0621</t>
  </si>
  <si>
    <t>Tara Amble</t>
  </si>
  <si>
    <t>CUST0622</t>
  </si>
  <si>
    <t>Laban Lall</t>
  </si>
  <si>
    <t>CUST0623</t>
  </si>
  <si>
    <t>Wriddhish Ratti</t>
  </si>
  <si>
    <t>Noah Lanka</t>
  </si>
  <si>
    <t>Leela Kari</t>
  </si>
  <si>
    <t>CUST0626</t>
  </si>
  <si>
    <t>Idika Kohli</t>
  </si>
  <si>
    <t>CUST0627</t>
  </si>
  <si>
    <t>Falak Gill</t>
  </si>
  <si>
    <t>CUST0628</t>
  </si>
  <si>
    <t>Gayathri Gala</t>
  </si>
  <si>
    <t>Warinder Bhatnagar</t>
  </si>
  <si>
    <t>CUST0630</t>
  </si>
  <si>
    <t>Sudiksha Bhakta</t>
  </si>
  <si>
    <t>Unnati Kar</t>
  </si>
  <si>
    <t>CUST0632</t>
  </si>
  <si>
    <t>Pranav Manne</t>
  </si>
  <si>
    <t>Yutika Hari</t>
  </si>
  <si>
    <t>CUST0634</t>
  </si>
  <si>
    <t>Bhavini Bhatt</t>
  </si>
  <si>
    <t>CUST0635</t>
  </si>
  <si>
    <t>Ekalinga Dyal</t>
  </si>
  <si>
    <t>CUST0636</t>
  </si>
  <si>
    <t>Rachana Sunder</t>
  </si>
  <si>
    <t>Tarak Wadhwa</t>
  </si>
  <si>
    <t>CUST0638</t>
  </si>
  <si>
    <t>Damini Maharaj</t>
  </si>
  <si>
    <t>CUST0639</t>
  </si>
  <si>
    <t>Gopal Gupta</t>
  </si>
  <si>
    <t>Abeer Kar</t>
  </si>
  <si>
    <t>CUST0641</t>
  </si>
  <si>
    <t>Chasmum Taneja</t>
  </si>
  <si>
    <t>CUST0642</t>
  </si>
  <si>
    <t>Vrinda Hayre</t>
  </si>
  <si>
    <t>CUST0643</t>
  </si>
  <si>
    <t>Adya Mannan</t>
  </si>
  <si>
    <t>Abha Rajagopal</t>
  </si>
  <si>
    <t>CUST0645</t>
  </si>
  <si>
    <t>Sanaya Narula</t>
  </si>
  <si>
    <t>CUST0646</t>
  </si>
  <si>
    <t>Tanmayi Sangha</t>
  </si>
  <si>
    <t>Geetika Prashad</t>
  </si>
  <si>
    <t>Yamini Pandya</t>
  </si>
  <si>
    <t>Parth Tak</t>
  </si>
  <si>
    <t>CUST0650</t>
  </si>
  <si>
    <t>Gunbir Kamdar</t>
  </si>
  <si>
    <t>Chakradev Sachdeva</t>
  </si>
  <si>
    <t>CUST0652</t>
  </si>
  <si>
    <t>Dakshesh Jain</t>
  </si>
  <si>
    <t>CUST0653</t>
  </si>
  <si>
    <t>Tristan Sawhney</t>
  </si>
  <si>
    <t>Omaja Dara</t>
  </si>
  <si>
    <t>CUST0655</t>
  </si>
  <si>
    <t>Tarak Kumer</t>
  </si>
  <si>
    <t>CUST0656</t>
  </si>
  <si>
    <t>Vincent Vyas</t>
  </si>
  <si>
    <t>Rudra Atwal</t>
  </si>
  <si>
    <t>CUST0658</t>
  </si>
  <si>
    <t>Rudra Rama</t>
  </si>
  <si>
    <t>CUST0659</t>
  </si>
  <si>
    <t>Yadavi Nadkarni</t>
  </si>
  <si>
    <t>Frederick Narayan</t>
  </si>
  <si>
    <t>Sara Keer</t>
  </si>
  <si>
    <t>CUST0662</t>
  </si>
  <si>
    <t>Madhavi Pandey</t>
  </si>
  <si>
    <t>CUST0663</t>
  </si>
  <si>
    <t>Sarthak Bhardwaj</t>
  </si>
  <si>
    <t>Christopher Chakraborty</t>
  </si>
  <si>
    <t>Rachit Guha</t>
  </si>
  <si>
    <t>CUST0666</t>
  </si>
  <si>
    <t>Frederick Loke</t>
  </si>
  <si>
    <t>Indali Deol</t>
  </si>
  <si>
    <t>CUST0668</t>
  </si>
  <si>
    <t>Abhimanyu Wable</t>
  </si>
  <si>
    <t>Rohan Balakrishnan</t>
  </si>
  <si>
    <t>CUST0670</t>
  </si>
  <si>
    <t>Ekani Sarkar</t>
  </si>
  <si>
    <t>CUST0671</t>
  </si>
  <si>
    <t>Rajata Mukherjee</t>
  </si>
  <si>
    <t>CUST0672</t>
  </si>
  <si>
    <t>Gaurang Arora</t>
  </si>
  <si>
    <t>CUST0673</t>
  </si>
  <si>
    <t>Oni Misra</t>
  </si>
  <si>
    <t>CUST0674</t>
  </si>
  <si>
    <t>Gabriel Sathe</t>
  </si>
  <si>
    <t>Aarini Dash</t>
  </si>
  <si>
    <t>CUST0676</t>
  </si>
  <si>
    <t>Urmi Sahni</t>
  </si>
  <si>
    <t>CUST0677</t>
  </si>
  <si>
    <t>Frederick Hayer</t>
  </si>
  <si>
    <t>Tejas Maharaj</t>
  </si>
  <si>
    <t>Max Luthra</t>
  </si>
  <si>
    <t>CUST0680</t>
  </si>
  <si>
    <t>Ryan Kapadia</t>
  </si>
  <si>
    <t>CUST0681</t>
  </si>
  <si>
    <t>Gaurang Palan</t>
  </si>
  <si>
    <t>CUST0682</t>
  </si>
  <si>
    <t>Girik Jhaveri</t>
  </si>
  <si>
    <t>CUST0683</t>
  </si>
  <si>
    <t>Azaan Seth</t>
  </si>
  <si>
    <t>CUST0684</t>
  </si>
  <si>
    <t>Om Mital</t>
  </si>
  <si>
    <t>CUST0685</t>
  </si>
  <si>
    <t>Udarsh Walla</t>
  </si>
  <si>
    <t>CUST0686</t>
  </si>
  <si>
    <t>Girik Sant</t>
  </si>
  <si>
    <t>CUST0687</t>
  </si>
  <si>
    <t>Ati Dhaliwal</t>
  </si>
  <si>
    <t>CUST0688</t>
  </si>
  <si>
    <t>Chanchal Gara</t>
  </si>
  <si>
    <t>CUST0689</t>
  </si>
  <si>
    <t>Forum Thakkar</t>
  </si>
  <si>
    <t>Charvi Dewan</t>
  </si>
  <si>
    <t>CUST0691</t>
  </si>
  <si>
    <t>Ekta Ram</t>
  </si>
  <si>
    <t>CUST0692</t>
  </si>
  <si>
    <t>Sara Ramakrishnan</t>
  </si>
  <si>
    <t>CUST0693</t>
  </si>
  <si>
    <t>Ekapad Kadakia</t>
  </si>
  <si>
    <t>CUST0694</t>
  </si>
  <si>
    <t>Vedhika Misra</t>
  </si>
  <si>
    <t>CUST0695</t>
  </si>
  <si>
    <t>Nicholas Deshmukh</t>
  </si>
  <si>
    <t>CUST0696</t>
  </si>
  <si>
    <t>Vivaan Khosla</t>
  </si>
  <si>
    <t>CUST0697</t>
  </si>
  <si>
    <t>Veer Memon</t>
  </si>
  <si>
    <t>CUST0698</t>
  </si>
  <si>
    <t>Panini Chopra</t>
  </si>
  <si>
    <t>Bhavika Yogi</t>
  </si>
  <si>
    <t>CUST0700</t>
  </si>
  <si>
    <t>Vedant Bora</t>
  </si>
  <si>
    <t>Aarush Hegde</t>
  </si>
  <si>
    <t>CUST0702</t>
  </si>
  <si>
    <t>Girish Dani</t>
  </si>
  <si>
    <t>CUST0703</t>
  </si>
  <si>
    <t>Vaishnavi Bajaj</t>
  </si>
  <si>
    <t>CUST0704</t>
  </si>
  <si>
    <t>Ayushman Samra</t>
  </si>
  <si>
    <t>CUST0705</t>
  </si>
  <si>
    <t>Nikita Parmar</t>
  </si>
  <si>
    <t>CUST0706</t>
  </si>
  <si>
    <t>Pahal Zacharia</t>
  </si>
  <si>
    <t>CUST0707</t>
  </si>
  <si>
    <t>Ladli Bhasin</t>
  </si>
  <si>
    <t>CUST0708</t>
  </si>
  <si>
    <t>Laksh Dube</t>
  </si>
  <si>
    <t>Tejas Chanda</t>
  </si>
  <si>
    <t>Divya Bakshi</t>
  </si>
  <si>
    <t>CUST0711</t>
  </si>
  <si>
    <t>Hiral Bora</t>
  </si>
  <si>
    <t>CUST0712</t>
  </si>
  <si>
    <t>Anjali Vyas</t>
  </si>
  <si>
    <t>CUST0713</t>
  </si>
  <si>
    <t>George Golla</t>
  </si>
  <si>
    <t>Ijaya Hegde</t>
  </si>
  <si>
    <t>Hiral Tank</t>
  </si>
  <si>
    <t>CUST0716</t>
  </si>
  <si>
    <t>Forum Mani</t>
  </si>
  <si>
    <t>CUST0717</t>
  </si>
  <si>
    <t>Vasatika Mander</t>
  </si>
  <si>
    <t>CUST0718</t>
  </si>
  <si>
    <t>Parth Narang</t>
  </si>
  <si>
    <t>CUST0719</t>
  </si>
  <si>
    <t>Xiti Hari</t>
  </si>
  <si>
    <t>CUST0720</t>
  </si>
  <si>
    <t>Arya Bath</t>
  </si>
  <si>
    <t>Niharika Contractor</t>
  </si>
  <si>
    <t>CUST0722</t>
  </si>
  <si>
    <t>Girish Nair</t>
  </si>
  <si>
    <t>CUST0723</t>
  </si>
  <si>
    <t>Ryan Shere</t>
  </si>
  <si>
    <t>CUST0724</t>
  </si>
  <si>
    <t>Zaitra Mitter</t>
  </si>
  <si>
    <t>Lopa Bajwa</t>
  </si>
  <si>
    <t>Nicholas Kumer</t>
  </si>
  <si>
    <t>Liam Apte</t>
  </si>
  <si>
    <t>CUST0728</t>
  </si>
  <si>
    <t>Ryan Manda</t>
  </si>
  <si>
    <t>CUST0729</t>
  </si>
  <si>
    <t>Baghyawati Parsa</t>
  </si>
  <si>
    <t>CUST0730</t>
  </si>
  <si>
    <t>Baljiwan Trivedi</t>
  </si>
  <si>
    <t>Ronith Joshi</t>
  </si>
  <si>
    <t>Owen Jhaveri</t>
  </si>
  <si>
    <t>Tanmayi Shere</t>
  </si>
  <si>
    <t>CUST0734</t>
  </si>
  <si>
    <t>Advik Krishna</t>
  </si>
  <si>
    <t>CUST0735</t>
  </si>
  <si>
    <t>Oscar Sachar</t>
  </si>
  <si>
    <t>CUST0736</t>
  </si>
  <si>
    <t>Fiyaz Nori</t>
  </si>
  <si>
    <t>CUST0737</t>
  </si>
  <si>
    <t>Aashi Narasimhan</t>
  </si>
  <si>
    <t>Jonathan Mittal</t>
  </si>
  <si>
    <t>CUST0739</t>
  </si>
  <si>
    <t>Saksham Dyal</t>
  </si>
  <si>
    <t>Samuel Tara</t>
  </si>
  <si>
    <t>CUST0741</t>
  </si>
  <si>
    <t>Divya Hans</t>
  </si>
  <si>
    <t>CUST0742</t>
  </si>
  <si>
    <t>Vyanjana Bose</t>
  </si>
  <si>
    <t>CUST0743</t>
  </si>
  <si>
    <t>Advika Bansal</t>
  </si>
  <si>
    <t>CUST0744</t>
  </si>
  <si>
    <t>Neha Rout</t>
  </si>
  <si>
    <t>Tara Butala</t>
  </si>
  <si>
    <t>CUST0746</t>
  </si>
  <si>
    <t>Janaki Cheema</t>
  </si>
  <si>
    <t>Ekansh Mukhopadhyay</t>
  </si>
  <si>
    <t>CUST0748</t>
  </si>
  <si>
    <t>Vrishti Atwal</t>
  </si>
  <si>
    <t>Raksha Rajagopal</t>
  </si>
  <si>
    <t>Abhimanyu Sachar</t>
  </si>
  <si>
    <t>CUST0751</t>
  </si>
  <si>
    <t>Vasudha Patla</t>
  </si>
  <si>
    <t>Saumya Baria</t>
  </si>
  <si>
    <t>CUST0753</t>
  </si>
  <si>
    <t>Pooja Golla</t>
  </si>
  <si>
    <t>CUST0754</t>
  </si>
  <si>
    <t>Janya Gade</t>
  </si>
  <si>
    <t>CUST0755</t>
  </si>
  <si>
    <t>Andrew Lal</t>
  </si>
  <si>
    <t>CUST0756</t>
  </si>
  <si>
    <t>Gaurang Iyengar</t>
  </si>
  <si>
    <t>CUST0757</t>
  </si>
  <si>
    <t>Reyansh Ravel</t>
  </si>
  <si>
    <t>CUST0758</t>
  </si>
  <si>
    <t>Aadhya Bava</t>
  </si>
  <si>
    <t>CUST0759</t>
  </si>
  <si>
    <t>Jeremiah Sani</t>
  </si>
  <si>
    <t>CUST0760</t>
  </si>
  <si>
    <t>Peter Nadkarni</t>
  </si>
  <si>
    <t>CUST0761</t>
  </si>
  <si>
    <t>Oscar Sani</t>
  </si>
  <si>
    <t>CUST0762</t>
  </si>
  <si>
    <t>Raagini Sathe</t>
  </si>
  <si>
    <t>CUST0763</t>
  </si>
  <si>
    <t>Gaurav Rege</t>
  </si>
  <si>
    <t>CUST0764</t>
  </si>
  <si>
    <t>Arin Roy</t>
  </si>
  <si>
    <t>CUST0765</t>
  </si>
  <si>
    <t>Imaran Anne</t>
  </si>
  <si>
    <t>Avi Venkatesh</t>
  </si>
  <si>
    <t>CUST0767</t>
  </si>
  <si>
    <t>Isha Chakraborty</t>
  </si>
  <si>
    <t>CUST0768</t>
  </si>
  <si>
    <t>Kamya Bhat</t>
  </si>
  <si>
    <t>Yashvi Ramachandran</t>
  </si>
  <si>
    <t>CUST0770</t>
  </si>
  <si>
    <t>Tristan Bhattacharyya</t>
  </si>
  <si>
    <t>CUST0771</t>
  </si>
  <si>
    <t>Ubika Bhagat</t>
  </si>
  <si>
    <t>CUST0772</t>
  </si>
  <si>
    <t>Geetika Dugar</t>
  </si>
  <si>
    <t>Kamya Dutt</t>
  </si>
  <si>
    <t>CUST0774</t>
  </si>
  <si>
    <t>Samuel Bhandari</t>
  </si>
  <si>
    <t>CUST0775</t>
  </si>
  <si>
    <t>Bhavini Jayaraman</t>
  </si>
  <si>
    <t>CUST0776</t>
  </si>
  <si>
    <t>Udant Vasa</t>
  </si>
  <si>
    <t>Orinder Varughese</t>
  </si>
  <si>
    <t>CUST0778</t>
  </si>
  <si>
    <t>Ekani Peri</t>
  </si>
  <si>
    <t>CUST0779</t>
  </si>
  <si>
    <t>Dayita Dugar</t>
  </si>
  <si>
    <t>CUST0780</t>
  </si>
  <si>
    <t>Laban Shah</t>
  </si>
  <si>
    <t>CUST0781</t>
  </si>
  <si>
    <t>Xiti Kala</t>
  </si>
  <si>
    <t>Rushil Kapoor</t>
  </si>
  <si>
    <t>CUST0783</t>
  </si>
  <si>
    <t>Yatin Salvi</t>
  </si>
  <si>
    <t>CUST0784</t>
  </si>
  <si>
    <t>Lipika Gokhale</t>
  </si>
  <si>
    <t>Vincent Kohli</t>
  </si>
  <si>
    <t>CUST0786</t>
  </si>
  <si>
    <t>Jeremiah Ghose</t>
  </si>
  <si>
    <t>CUST0787</t>
  </si>
  <si>
    <t>Zinal Pathak</t>
  </si>
  <si>
    <t>CUST0788</t>
  </si>
  <si>
    <t>Ethan Varughese</t>
  </si>
  <si>
    <t>CUST0789</t>
  </si>
  <si>
    <t>Hitesh Hayre</t>
  </si>
  <si>
    <t>Devika Malhotra</t>
  </si>
  <si>
    <t>CUST0791</t>
  </si>
  <si>
    <t>Agastya Nadkarni</t>
  </si>
  <si>
    <t>CUST0792</t>
  </si>
  <si>
    <t>Pahal Varkey</t>
  </si>
  <si>
    <t>Harini Swamy</t>
  </si>
  <si>
    <t>CUST0794</t>
  </si>
  <si>
    <t>Jagvi Bajaj</t>
  </si>
  <si>
    <t>CUST0795</t>
  </si>
  <si>
    <t>Kashvi Kale</t>
  </si>
  <si>
    <t>Hitesh Memon</t>
  </si>
  <si>
    <t>Ethan Johal</t>
  </si>
  <si>
    <t>CUST0798</t>
  </si>
  <si>
    <t>Yahvi Sathe</t>
  </si>
  <si>
    <t>CUST0799</t>
  </si>
  <si>
    <t>Kevin Bains</t>
  </si>
  <si>
    <t>CUST0800</t>
  </si>
  <si>
    <t>Lakshit Chaudhry</t>
  </si>
  <si>
    <t>CUST0801</t>
  </si>
  <si>
    <t>Ubika Nigam</t>
  </si>
  <si>
    <t>Geetika Hayre</t>
  </si>
  <si>
    <t>Maanav Venkataraman</t>
  </si>
  <si>
    <t>CUST0804</t>
  </si>
  <si>
    <t>Yashica Kannan</t>
  </si>
  <si>
    <t>CUST0805</t>
  </si>
  <si>
    <t>Pooja Thakkar</t>
  </si>
  <si>
    <t>CUST0806</t>
  </si>
  <si>
    <t>Nathan Uppal</t>
  </si>
  <si>
    <t>CUST0807</t>
  </si>
  <si>
    <t>Triveni Dass</t>
  </si>
  <si>
    <t>Girish Sharaf</t>
  </si>
  <si>
    <t>Ayushman Misra</t>
  </si>
  <si>
    <t>CUST0810</t>
  </si>
  <si>
    <t>Champak Bhatt</t>
  </si>
  <si>
    <t>CUST0811</t>
  </si>
  <si>
    <t>Zilmil Master</t>
  </si>
  <si>
    <t>Samuel Hora</t>
  </si>
  <si>
    <t>Vedika Deo</t>
  </si>
  <si>
    <t>CUST0814</t>
  </si>
  <si>
    <t>Noah Mannan</t>
  </si>
  <si>
    <t>Odika Basu</t>
  </si>
  <si>
    <t>CUST0816</t>
  </si>
  <si>
    <t>Laksh Badami</t>
  </si>
  <si>
    <t>CUST0817</t>
  </si>
  <si>
    <t>Niharika Bera</t>
  </si>
  <si>
    <t>CUST0818</t>
  </si>
  <si>
    <t>Pallavi Grewal</t>
  </si>
  <si>
    <t>CUST0819</t>
  </si>
  <si>
    <t>Jack Bali</t>
  </si>
  <si>
    <t>CUST0820</t>
  </si>
  <si>
    <t>Balvan Kaul</t>
  </si>
  <si>
    <t>CUST0821</t>
  </si>
  <si>
    <t>Hemang Palla</t>
  </si>
  <si>
    <t>Shivansh Gara</t>
  </si>
  <si>
    <t>Neel Vyas</t>
  </si>
  <si>
    <t>CUST0824</t>
  </si>
  <si>
    <t>Ethan Gokhale</t>
  </si>
  <si>
    <t>CUST0825</t>
  </si>
  <si>
    <t>Noah Sankar</t>
  </si>
  <si>
    <t>CUST0826</t>
  </si>
  <si>
    <t>Meera Deep</t>
  </si>
  <si>
    <t>CUST0827</t>
  </si>
  <si>
    <t>Dalbir Kapadia</t>
  </si>
  <si>
    <t>CUST0828</t>
  </si>
  <si>
    <t>Vasatika Contractor</t>
  </si>
  <si>
    <t>CUST0829</t>
  </si>
  <si>
    <t>Vedant Biswas</t>
  </si>
  <si>
    <t>CUST0830</t>
  </si>
  <si>
    <t>Owen Dixit</t>
  </si>
  <si>
    <t>CUST0831</t>
  </si>
  <si>
    <t>Samarth Chokshi</t>
  </si>
  <si>
    <t>CUST0832</t>
  </si>
  <si>
    <t>Henry Arora</t>
  </si>
  <si>
    <t>CUST0833</t>
  </si>
  <si>
    <t>Daksh Gupta</t>
  </si>
  <si>
    <t>CUST0834</t>
  </si>
  <si>
    <t>Turvi Wason</t>
  </si>
  <si>
    <t>CUST0835</t>
  </si>
  <si>
    <t>Gayathri Parsa</t>
  </si>
  <si>
    <t>CUST0836</t>
  </si>
  <si>
    <t>Jagrati Korpal</t>
  </si>
  <si>
    <t>CUST0837</t>
  </si>
  <si>
    <t>Fiyaz Borah</t>
  </si>
  <si>
    <t>CUST0838</t>
  </si>
  <si>
    <t>Qushi Naik</t>
  </si>
  <si>
    <t>CUST0839</t>
  </si>
  <si>
    <t>Peter Keer</t>
  </si>
  <si>
    <t>CUST0840</t>
  </si>
  <si>
    <t>Wyatt Dutt</t>
  </si>
  <si>
    <t>Arya Thaman</t>
  </si>
  <si>
    <t>Ayushman Khatri</t>
  </si>
  <si>
    <t>Krishna Sagar</t>
  </si>
  <si>
    <t>CUST0844</t>
  </si>
  <si>
    <t>Rudra Talwar</t>
  </si>
  <si>
    <t>Aadi Srinivasan</t>
  </si>
  <si>
    <t>Ayaan Oommen</t>
  </si>
  <si>
    <t>CUST0847</t>
  </si>
  <si>
    <t>Diya Keer</t>
  </si>
  <si>
    <t>CUST0848</t>
  </si>
  <si>
    <t>Pavani Comar</t>
  </si>
  <si>
    <t>CUST0849</t>
  </si>
  <si>
    <t>Tripti Kanda</t>
  </si>
  <si>
    <t>CUST0850</t>
  </si>
  <si>
    <t>Yochana Srinivasan</t>
  </si>
  <si>
    <t>Advik Hora</t>
  </si>
  <si>
    <t>Urmi Golla</t>
  </si>
  <si>
    <t>CUST0853</t>
  </si>
  <si>
    <t>Ansh Sani</t>
  </si>
  <si>
    <t>CUST0854</t>
  </si>
  <si>
    <t>Simon Sarna</t>
  </si>
  <si>
    <t>CUST0855</t>
  </si>
  <si>
    <t>Panini Bava</t>
  </si>
  <si>
    <t>CUST0856</t>
  </si>
  <si>
    <t>Guneet Borra</t>
  </si>
  <si>
    <t>Amara Pandya</t>
  </si>
  <si>
    <t>CUST0858</t>
  </si>
  <si>
    <t>Adya Prakash</t>
  </si>
  <si>
    <t>CUST0859</t>
  </si>
  <si>
    <t>Zinal Seshadri</t>
  </si>
  <si>
    <t>CUST0860</t>
  </si>
  <si>
    <t>Balvan Sharma</t>
  </si>
  <si>
    <t>Girik Kapadia</t>
  </si>
  <si>
    <t>Hredhaan Patla</t>
  </si>
  <si>
    <t>CUST0863</t>
  </si>
  <si>
    <t>Hema Merchant</t>
  </si>
  <si>
    <t>Rehaan Shenoy</t>
  </si>
  <si>
    <t>CUST0865</t>
  </si>
  <si>
    <t>Yauvani Karpe</t>
  </si>
  <si>
    <t>CUST0866</t>
  </si>
  <si>
    <t>Ati Gera</t>
  </si>
  <si>
    <t>CUST0867</t>
  </si>
  <si>
    <t>Kiaan Sawhney</t>
  </si>
  <si>
    <t>CUST0868</t>
  </si>
  <si>
    <t>Gautami Pathak</t>
  </si>
  <si>
    <t>Keya Kamdar</t>
  </si>
  <si>
    <t>CUST0870</t>
  </si>
  <si>
    <t>Yadavi Shan</t>
  </si>
  <si>
    <t>Vritti Dugar</t>
  </si>
  <si>
    <t>Zilmil Sule</t>
  </si>
  <si>
    <t>CUST0873</t>
  </si>
  <si>
    <t>Jason Bhatia</t>
  </si>
  <si>
    <t>CUST0874</t>
  </si>
  <si>
    <t>Zaid Pau</t>
  </si>
  <si>
    <t>CUST0875</t>
  </si>
  <si>
    <t>Girik Chaudhary</t>
  </si>
  <si>
    <t>CUST0876</t>
  </si>
  <si>
    <t>Avi Patil</t>
  </si>
  <si>
    <t>CUST0877</t>
  </si>
  <si>
    <t>Yochana Dugar</t>
  </si>
  <si>
    <t>Viraj Subramaniam</t>
  </si>
  <si>
    <t>Sara Mital</t>
  </si>
  <si>
    <t>CUST0880</t>
  </si>
  <si>
    <t>Aadhya Batta</t>
  </si>
  <si>
    <t>CUST0881</t>
  </si>
  <si>
    <t>Faras Karan</t>
  </si>
  <si>
    <t>CUST0882</t>
  </si>
  <si>
    <t>Ranbir Dhaliwal</t>
  </si>
  <si>
    <t>CUST0883</t>
  </si>
  <si>
    <t>Yauvani Sachar</t>
  </si>
  <si>
    <t>Aadi Deep</t>
  </si>
  <si>
    <t>CUST0885</t>
  </si>
  <si>
    <t>Tripti Pall</t>
  </si>
  <si>
    <t>CUST0886</t>
  </si>
  <si>
    <t>Dayita Cherian</t>
  </si>
  <si>
    <t>Tarak Bhardwaj</t>
  </si>
  <si>
    <t>CUST0888</t>
  </si>
  <si>
    <t>Atharv Krishnan</t>
  </si>
  <si>
    <t>Xalak Bhavsar</t>
  </si>
  <si>
    <t>CUST0890</t>
  </si>
  <si>
    <t>Hardik Bora</t>
  </si>
  <si>
    <t>CUST0891</t>
  </si>
  <si>
    <t>Parth Hora</t>
  </si>
  <si>
    <t>CUST0892</t>
  </si>
  <si>
    <t>Sai Mall</t>
  </si>
  <si>
    <t>Chakradev Muni</t>
  </si>
  <si>
    <t>CUST0894</t>
  </si>
  <si>
    <t>Chameli Puri</t>
  </si>
  <si>
    <t>Aryan Atwal</t>
  </si>
  <si>
    <t>Yashodhara Dey</t>
  </si>
  <si>
    <t>Devansh Ghosh</t>
  </si>
  <si>
    <t>CUST0898</t>
  </si>
  <si>
    <t>Rajeshri Kalla</t>
  </si>
  <si>
    <t>CUST0899</t>
  </si>
  <si>
    <t>Victor Salvi</t>
  </si>
  <si>
    <t>Bhavika Kara</t>
  </si>
  <si>
    <t>CUST0901</t>
  </si>
  <si>
    <t>Jagvi Prabhakar</t>
  </si>
  <si>
    <t>CUST0902</t>
  </si>
  <si>
    <t>Kabir Raja</t>
  </si>
  <si>
    <t>CUST0903</t>
  </si>
  <si>
    <t>Liam Dave</t>
  </si>
  <si>
    <t>CUST0904</t>
  </si>
  <si>
    <t>Samarth Dara</t>
  </si>
  <si>
    <t>CUST0905</t>
  </si>
  <si>
    <t>Dakshesh Menon</t>
  </si>
  <si>
    <t>CUST0906</t>
  </si>
  <si>
    <t>Fitan Banerjee</t>
  </si>
  <si>
    <t>CUST0907</t>
  </si>
  <si>
    <t>Ekantika Lad</t>
  </si>
  <si>
    <t>CUST0908</t>
  </si>
  <si>
    <t>Ucchal Mane</t>
  </si>
  <si>
    <t>CUST0909</t>
  </si>
  <si>
    <t>Farhan Suresh</t>
  </si>
  <si>
    <t>CUST0910</t>
  </si>
  <si>
    <t>Warda Prabhu</t>
  </si>
  <si>
    <t>Jai Goel</t>
  </si>
  <si>
    <t>Wazir Bora</t>
  </si>
  <si>
    <t>CUST0913</t>
  </si>
  <si>
    <t>Anjali Ganguly</t>
  </si>
  <si>
    <t>CUST0914</t>
  </si>
  <si>
    <t>Liam Aggarwal</t>
  </si>
  <si>
    <t>CUST0915</t>
  </si>
  <si>
    <t>Meera Bala</t>
  </si>
  <si>
    <t>CUST0916</t>
  </si>
  <si>
    <t>Inaya Bhatnagar</t>
  </si>
  <si>
    <t>CUST0917</t>
  </si>
  <si>
    <t>Jyoti Sanghvi</t>
  </si>
  <si>
    <t>CUST0918</t>
  </si>
  <si>
    <t>Gaurav Tella</t>
  </si>
  <si>
    <t>CUST0919</t>
  </si>
  <si>
    <t>Kashish Batra</t>
  </si>
  <si>
    <t>CUST0920</t>
  </si>
  <si>
    <t>Niharika Pradhan</t>
  </si>
  <si>
    <t>Agastya Mangal</t>
  </si>
  <si>
    <t>CUST0922</t>
  </si>
  <si>
    <t>Unnati Jha</t>
  </si>
  <si>
    <t>Abhimanyu Wadhwa</t>
  </si>
  <si>
    <t>CUST0924</t>
  </si>
  <si>
    <t>Aachal Bali</t>
  </si>
  <si>
    <t>Radha Prasad</t>
  </si>
  <si>
    <t>CUST0926</t>
  </si>
  <si>
    <t>Waida Lad</t>
  </si>
  <si>
    <t>CUST0927</t>
  </si>
  <si>
    <t>Yauvani Chowdhury</t>
  </si>
  <si>
    <t>Omkaar Devi</t>
  </si>
  <si>
    <t>CUST0929</t>
  </si>
  <si>
    <t>Yuvraj Kar</t>
  </si>
  <si>
    <t>Triveni Sandhu</t>
  </si>
  <si>
    <t>CUST0931</t>
  </si>
  <si>
    <t>Warinder Morar</t>
  </si>
  <si>
    <t>CUST0932</t>
  </si>
  <si>
    <t>Ansh Balakrishnan</t>
  </si>
  <si>
    <t>CUST0933</t>
  </si>
  <si>
    <t>Eshana Dhar</t>
  </si>
  <si>
    <t>CUST0934</t>
  </si>
  <si>
    <t>Jackson Kanda</t>
  </si>
  <si>
    <t>Hema Buch</t>
  </si>
  <si>
    <t>Chaaya Sem</t>
  </si>
  <si>
    <t>CUST0937</t>
  </si>
  <si>
    <t>Kevin Batra</t>
  </si>
  <si>
    <t>CUST0938</t>
  </si>
  <si>
    <t>Samarth Oommen</t>
  </si>
  <si>
    <t>CUST0939</t>
  </si>
  <si>
    <t>Aachal Dewan</t>
  </si>
  <si>
    <t>CUST0940</t>
  </si>
  <si>
    <t>Lohit Tailor</t>
  </si>
  <si>
    <t>Urmi Kapur</t>
  </si>
  <si>
    <t>CUST0942</t>
  </si>
  <si>
    <t>Upasna Saran</t>
  </si>
  <si>
    <t>CUST0943</t>
  </si>
  <si>
    <t>Yashica Subramaniam</t>
  </si>
  <si>
    <t>CUST0944</t>
  </si>
  <si>
    <t>Naveen Ratta</t>
  </si>
  <si>
    <t>CUST0945</t>
  </si>
  <si>
    <t>Balendra Sanghvi</t>
  </si>
  <si>
    <t>CUST0946</t>
  </si>
  <si>
    <t>Yutika Kala</t>
  </si>
  <si>
    <t>CUST0947</t>
  </si>
  <si>
    <t>Yuvraj Basu</t>
  </si>
  <si>
    <t>CUST0948</t>
  </si>
  <si>
    <t>Dalbir Andra</t>
  </si>
  <si>
    <t>Warda Loyal</t>
  </si>
  <si>
    <t>CUST0950</t>
  </si>
  <si>
    <t>Priya Biswas</t>
  </si>
  <si>
    <t>Leela Kurian</t>
  </si>
  <si>
    <t>CUST0952</t>
  </si>
  <si>
    <t>Noah Krish</t>
  </si>
  <si>
    <t>Arya Panchal</t>
  </si>
  <si>
    <t>CUST0954</t>
  </si>
  <si>
    <t>Wahab Naik</t>
  </si>
  <si>
    <t>CUST0955</t>
  </si>
  <si>
    <t>Krisha Thaman</t>
  </si>
  <si>
    <t>CUST0956</t>
  </si>
  <si>
    <t>Janya Pathak</t>
  </si>
  <si>
    <t>David Dhillon</t>
  </si>
  <si>
    <t>Ayush Patla</t>
  </si>
  <si>
    <t>CUST0959</t>
  </si>
  <si>
    <t>Sarthak Murty</t>
  </si>
  <si>
    <t>CUST0960</t>
  </si>
  <si>
    <t>Viraj Mukherjee</t>
  </si>
  <si>
    <t>CUST0961</t>
  </si>
  <si>
    <t>Keya Bhattacharyya</t>
  </si>
  <si>
    <t>CUST0962</t>
  </si>
  <si>
    <t>Adya Ramachandran</t>
  </si>
  <si>
    <t>CUST0963</t>
  </si>
  <si>
    <t>Avi Oak</t>
  </si>
  <si>
    <t>CUST0964</t>
  </si>
  <si>
    <t>Pavani Bajwa</t>
  </si>
  <si>
    <t>CUST0965</t>
  </si>
  <si>
    <t>Megha Virk</t>
  </si>
  <si>
    <t>Tanish Kapadia</t>
  </si>
  <si>
    <t>CUST0967</t>
  </si>
  <si>
    <t>Pallavi Puri</t>
  </si>
  <si>
    <t>CUST0968</t>
  </si>
  <si>
    <t>Ekantika Raju</t>
  </si>
  <si>
    <t>Faras Comar</t>
  </si>
  <si>
    <t>Mohini Mital</t>
  </si>
  <si>
    <t>Nidra Lata</t>
  </si>
  <si>
    <t>CUST0972</t>
  </si>
  <si>
    <t>Jagrati Varma</t>
  </si>
  <si>
    <t>CUST0973</t>
  </si>
  <si>
    <t>Aarini Peri</t>
  </si>
  <si>
    <t>CUST0974</t>
  </si>
  <si>
    <t>Darsh Rana</t>
  </si>
  <si>
    <t>Mekhala Johal</t>
  </si>
  <si>
    <t>CUST0976</t>
  </si>
  <si>
    <t>Wriddhish Aurora</t>
  </si>
  <si>
    <t>Suhani Sha</t>
  </si>
  <si>
    <t>CUST0978</t>
  </si>
  <si>
    <t>Tanish Kapur</t>
  </si>
  <si>
    <t>CUST0979</t>
  </si>
  <si>
    <t>Libni Varty</t>
  </si>
  <si>
    <t>CUST0980</t>
  </si>
  <si>
    <t>Radhika Setty</t>
  </si>
  <si>
    <t>CUST0981</t>
  </si>
  <si>
    <t>Charles Kapur</t>
  </si>
  <si>
    <t>CUST0982</t>
  </si>
  <si>
    <t>Triveni Ahluwalia</t>
  </si>
  <si>
    <t>CUST0983</t>
  </si>
  <si>
    <t>Vivaan Bir</t>
  </si>
  <si>
    <t>Harish Edwin</t>
  </si>
  <si>
    <t>Faraj Chada</t>
  </si>
  <si>
    <t>Oviya D’Alia</t>
  </si>
  <si>
    <t>CUST0987</t>
  </si>
  <si>
    <t>Xavier Chowdhury</t>
  </si>
  <si>
    <t>CUST0988</t>
  </si>
  <si>
    <t>Amol Khalsa</t>
  </si>
  <si>
    <t>Kabir Thakur</t>
  </si>
  <si>
    <t>CUST0990</t>
  </si>
  <si>
    <t>Xiti Acharya</t>
  </si>
  <si>
    <t>CUST0991</t>
  </si>
  <si>
    <t>Qabil Kapoor</t>
  </si>
  <si>
    <t>CUST0992</t>
  </si>
  <si>
    <t>Kalpit Sarin</t>
  </si>
  <si>
    <t>CUST0993</t>
  </si>
  <si>
    <t>Atharv Chauhan</t>
  </si>
  <si>
    <t>CUST0994</t>
  </si>
  <si>
    <t>Arya Bhatia</t>
  </si>
  <si>
    <t>CUST0995</t>
  </si>
  <si>
    <t>Charvi Balan</t>
  </si>
  <si>
    <t>CUST0996</t>
  </si>
  <si>
    <t>Elijah Deo</t>
  </si>
  <si>
    <t>CUST0997</t>
  </si>
  <si>
    <t>Fiyaz Parmar</t>
  </si>
  <si>
    <t>Yachana Ganguly</t>
  </si>
  <si>
    <t>CUST0999</t>
  </si>
  <si>
    <t>Radha Tella</t>
  </si>
  <si>
    <t>CUST1000</t>
  </si>
  <si>
    <t>Ikbal Anand</t>
  </si>
  <si>
    <t>CUST1001</t>
  </si>
  <si>
    <t>Mugdha Issac</t>
  </si>
  <si>
    <t>Viraj Murthy</t>
  </si>
  <si>
    <t>CUST1003</t>
  </si>
  <si>
    <t>Dipta Toor</t>
  </si>
  <si>
    <t>CUST1004</t>
  </si>
  <si>
    <t>Ladli Krishnamurthy</t>
  </si>
  <si>
    <t>CUST1005</t>
  </si>
  <si>
    <t>Zayan Butala</t>
  </si>
  <si>
    <t>Nitesh Yadav</t>
  </si>
  <si>
    <t>CUST1007</t>
  </si>
  <si>
    <t>Jackson Naik</t>
  </si>
  <si>
    <t>Ishani Keer</t>
  </si>
  <si>
    <t>Nimrat Kalla</t>
  </si>
  <si>
    <t>Bishakha Madan</t>
  </si>
  <si>
    <t>CUST1011</t>
  </si>
  <si>
    <t>Alexander Dugar</t>
  </si>
  <si>
    <t>Ekiya Shanker</t>
  </si>
  <si>
    <t>CUST1013</t>
  </si>
  <si>
    <t>Hemani Bawa</t>
  </si>
  <si>
    <t>Manan Dalal</t>
  </si>
  <si>
    <t>CUST1015</t>
  </si>
  <si>
    <t>Teerth Oza</t>
  </si>
  <si>
    <t>CUST1016</t>
  </si>
  <si>
    <t>Hema Agate</t>
  </si>
  <si>
    <t>Fitan Grewal</t>
  </si>
  <si>
    <t>CUST1018</t>
  </si>
  <si>
    <t>Yachana Mane</t>
  </si>
  <si>
    <t>Zayan Hari</t>
  </si>
  <si>
    <t>CUST1020</t>
  </si>
  <si>
    <t>Ishani Babu</t>
  </si>
  <si>
    <t>CUST1021</t>
  </si>
  <si>
    <t>Warhi Dhillon</t>
  </si>
  <si>
    <t>William Balay</t>
  </si>
  <si>
    <t>CUST1023</t>
  </si>
  <si>
    <t>Saanvi Dhar</t>
  </si>
  <si>
    <t>CUST1024</t>
  </si>
  <si>
    <t>Azad Kumer</t>
  </si>
  <si>
    <t>CUST1025</t>
  </si>
  <si>
    <t>Advik Datta</t>
  </si>
  <si>
    <t>CUST1026</t>
  </si>
  <si>
    <t>Maanas Gara</t>
  </si>
  <si>
    <t>Oeshi Nagy</t>
  </si>
  <si>
    <t>CUST1028</t>
  </si>
  <si>
    <t>Amrita Brar</t>
  </si>
  <si>
    <t>CUST1029</t>
  </si>
  <si>
    <t>Dipta Wagle</t>
  </si>
  <si>
    <t>Upadhriti Ganesan</t>
  </si>
  <si>
    <t>Brijesh Oak</t>
  </si>
  <si>
    <t>Chatura Singhal</t>
  </si>
  <si>
    <t>Yashasvi Kakar</t>
  </si>
  <si>
    <t>Tarak Jayaraman</t>
  </si>
  <si>
    <t>Victor Sidhu</t>
  </si>
  <si>
    <t>Zarna Sanghvi</t>
  </si>
  <si>
    <t>CUST1037</t>
  </si>
  <si>
    <t>Bhavika Kala</t>
  </si>
  <si>
    <t>Mugdha Kala</t>
  </si>
  <si>
    <t>CUST1039</t>
  </si>
  <si>
    <t>Mason Devan</t>
  </si>
  <si>
    <t>CUST1040</t>
  </si>
  <si>
    <t>Eshana Sekhon</t>
  </si>
  <si>
    <t>CUST1041</t>
  </si>
  <si>
    <t>Nikita Halder</t>
  </si>
  <si>
    <t>CUST1042</t>
  </si>
  <si>
    <t>Jeremiah Kohli</t>
  </si>
  <si>
    <t>CUST1043</t>
  </si>
  <si>
    <t>Ucchal Gaba</t>
  </si>
  <si>
    <t>Manya Edwin</t>
  </si>
  <si>
    <t>CUST1045</t>
  </si>
  <si>
    <t>Daniel Wali</t>
  </si>
  <si>
    <t>CUST1046</t>
  </si>
  <si>
    <t>Leela Mukherjee</t>
  </si>
  <si>
    <t>Wazir Bumb</t>
  </si>
  <si>
    <t>CUST1048</t>
  </si>
  <si>
    <t>Hemangini Parmar</t>
  </si>
  <si>
    <t>CUST1049</t>
  </si>
  <si>
    <t>Ikbal Balay</t>
  </si>
  <si>
    <t>Chanakya Kuruvilla</t>
  </si>
  <si>
    <t>CUST1051</t>
  </si>
  <si>
    <t>Warinder Aggarwal</t>
  </si>
  <si>
    <t>Brijesh Aurora</t>
  </si>
  <si>
    <t>Ikshita Bhardwaj</t>
  </si>
  <si>
    <t>CUST1054</t>
  </si>
  <si>
    <t>Indrajit Sane</t>
  </si>
  <si>
    <t>CUST1055</t>
  </si>
  <si>
    <t>Ranbir Dani</t>
  </si>
  <si>
    <t>CUST1056</t>
  </si>
  <si>
    <t>Isaac Mittal</t>
  </si>
  <si>
    <t>Benjamin Mahajan</t>
  </si>
  <si>
    <t>Zinal Barad</t>
  </si>
  <si>
    <t>Quincy Brahmbhatt</t>
  </si>
  <si>
    <t>CUST1060</t>
  </si>
  <si>
    <t>Samuel Chauhan</t>
  </si>
  <si>
    <t>CUST1061</t>
  </si>
  <si>
    <t>Zayan Sule</t>
  </si>
  <si>
    <t>CUST1062</t>
  </si>
  <si>
    <t>Libni Kurian</t>
  </si>
  <si>
    <t>CUST1063</t>
  </si>
  <si>
    <t>Zashil Sarraf</t>
  </si>
  <si>
    <t>CUST1064</t>
  </si>
  <si>
    <t>Anay Nayar</t>
  </si>
  <si>
    <t>CUST1065</t>
  </si>
  <si>
    <t>Qasim Om</t>
  </si>
  <si>
    <t>CUST1066</t>
  </si>
  <si>
    <t>Yash Dutt</t>
  </si>
  <si>
    <t>CUST1067</t>
  </si>
  <si>
    <t>Chakradev Minhas</t>
  </si>
  <si>
    <t>Reva Bal</t>
  </si>
  <si>
    <t>CUST1069</t>
  </si>
  <si>
    <t>Logan Bansal</t>
  </si>
  <si>
    <t>CUST1070</t>
  </si>
  <si>
    <t>Umang Chadha</t>
  </si>
  <si>
    <t>CUST1071</t>
  </si>
  <si>
    <t>Damyanti Sandal</t>
  </si>
  <si>
    <t>CUST1072</t>
  </si>
  <si>
    <t>Yashasvi Anand</t>
  </si>
  <si>
    <t>CUST1073</t>
  </si>
  <si>
    <t>Rehaan Devi</t>
  </si>
  <si>
    <t>CUST1074</t>
  </si>
  <si>
    <t>Deepa Tandon</t>
  </si>
  <si>
    <t>CUST1075</t>
  </si>
  <si>
    <t>Gayathri Patla</t>
  </si>
  <si>
    <t>Jyoti Nanda</t>
  </si>
  <si>
    <t>Simon Khatri</t>
  </si>
  <si>
    <t>CUST1078</t>
  </si>
  <si>
    <t>Tarak Mani</t>
  </si>
  <si>
    <t>CUST1079</t>
  </si>
  <si>
    <t>Advika Arya</t>
  </si>
  <si>
    <t>CUST1080</t>
  </si>
  <si>
    <t>Wahab Raja</t>
  </si>
  <si>
    <t>CUST1081</t>
  </si>
  <si>
    <t>Omya Karan</t>
  </si>
  <si>
    <t>CUST1082</t>
  </si>
  <si>
    <t>Quincy Dani</t>
  </si>
  <si>
    <t>CUST1083</t>
  </si>
  <si>
    <t>Bhavani Patla</t>
  </si>
  <si>
    <t>Ishita Sood</t>
  </si>
  <si>
    <t>CUST1085</t>
  </si>
  <si>
    <t>Girik Yadav</t>
  </si>
  <si>
    <t>CUST1086</t>
  </si>
  <si>
    <t>Kalpit Ravi</t>
  </si>
  <si>
    <t>Bhavika Ramesh</t>
  </si>
  <si>
    <t>Ekta Kapadia</t>
  </si>
  <si>
    <t>CUST1089</t>
  </si>
  <si>
    <t>Veda Karnik</t>
  </si>
  <si>
    <t>Maanas Agate</t>
  </si>
  <si>
    <t>Lipika Walla</t>
  </si>
  <si>
    <t>Anthony Goel</t>
  </si>
  <si>
    <t>CUST1093</t>
  </si>
  <si>
    <t>Zayyan Bumb</t>
  </si>
  <si>
    <t>CUST1094</t>
  </si>
  <si>
    <t>Rachita Raju</t>
  </si>
  <si>
    <t>CUST1095</t>
  </si>
  <si>
    <t>Jack Ahuja</t>
  </si>
  <si>
    <t>Gaurangi Ratti</t>
  </si>
  <si>
    <t>Advay Pai</t>
  </si>
  <si>
    <t>Joshua Mani</t>
  </si>
  <si>
    <t>CUST1099</t>
  </si>
  <si>
    <t>Madhav Zachariah</t>
  </si>
  <si>
    <t>Edhitha Deep</t>
  </si>
  <si>
    <t>Yamini Luthra</t>
  </si>
  <si>
    <t>CUST1102</t>
  </si>
  <si>
    <t>Nathaniel Ahluwalia</t>
  </si>
  <si>
    <t>CUST1103</t>
  </si>
  <si>
    <t>Varsha Magar</t>
  </si>
  <si>
    <t>Nilima Brar</t>
  </si>
  <si>
    <t>CUST1105</t>
  </si>
  <si>
    <t>Arunima Pillay</t>
  </si>
  <si>
    <t>CUST1106</t>
  </si>
  <si>
    <t>Libni Lad</t>
  </si>
  <si>
    <t>CUST1107</t>
  </si>
  <si>
    <t>Krisha Raj</t>
  </si>
  <si>
    <t>CUST1108</t>
  </si>
  <si>
    <t>Dakshesh Comar</t>
  </si>
  <si>
    <t>CUST1109</t>
  </si>
  <si>
    <t>Samaksh Kara</t>
  </si>
  <si>
    <t>Laksh Sastry</t>
  </si>
  <si>
    <t>Nachiket Mittal</t>
  </si>
  <si>
    <t>CUST1112</t>
  </si>
  <si>
    <t>Urishilla Balakrishnan</t>
  </si>
  <si>
    <t>Chatresh Prakash</t>
  </si>
  <si>
    <t>CUST1114</t>
  </si>
  <si>
    <t>Samaksh Sama</t>
  </si>
  <si>
    <t>CUST1115</t>
  </si>
  <si>
    <t>Upma Naidu</t>
  </si>
  <si>
    <t>CUST1116</t>
  </si>
  <si>
    <t>Lavanya Narayan</t>
  </si>
  <si>
    <t>CUST1117</t>
  </si>
  <si>
    <t>Maya Dyal</t>
  </si>
  <si>
    <t>CUST1118</t>
  </si>
  <si>
    <t>Zashil Bobal</t>
  </si>
  <si>
    <t>Rayaan Char</t>
  </si>
  <si>
    <t>CUST1120</t>
  </si>
  <si>
    <t>Sanya Sankaran</t>
  </si>
  <si>
    <t>CUST1121</t>
  </si>
  <si>
    <t>Jyoti Morar</t>
  </si>
  <si>
    <t>CUST1122</t>
  </si>
  <si>
    <t>Thomas Nayar</t>
  </si>
  <si>
    <t>CUST1123</t>
  </si>
  <si>
    <t>Henry Gole</t>
  </si>
  <si>
    <t>Ayushman Grover</t>
  </si>
  <si>
    <t>CUST1125</t>
  </si>
  <si>
    <t>Kalpit Bahri</t>
  </si>
  <si>
    <t>CUST1126</t>
  </si>
  <si>
    <t>Anirudh Dani</t>
  </si>
  <si>
    <t>Panini Toor</t>
  </si>
  <si>
    <t>Lekha Mittal</t>
  </si>
  <si>
    <t>CUST1129</t>
  </si>
  <si>
    <t>Gaurika Subramanian</t>
  </si>
  <si>
    <t>CUST1130</t>
  </si>
  <si>
    <t>Upasna Dutt</t>
  </si>
  <si>
    <t>CUST1131</t>
  </si>
  <si>
    <t>Akshay Dua</t>
  </si>
  <si>
    <t>CUST1132</t>
  </si>
  <si>
    <t>Hema Bobal</t>
  </si>
  <si>
    <t>CUST1133</t>
  </si>
  <si>
    <t>Wakeeta Narain</t>
  </si>
  <si>
    <t>CUST1134</t>
  </si>
  <si>
    <t>Omaja Barad</t>
  </si>
  <si>
    <t>CUST1135</t>
  </si>
  <si>
    <t>Varsha Vasa</t>
  </si>
  <si>
    <t>Brinda Narula</t>
  </si>
  <si>
    <t>CUST1137</t>
  </si>
  <si>
    <t>Vasatika Sama</t>
  </si>
  <si>
    <t>CUST1138</t>
  </si>
  <si>
    <t>Deepa Krishnamurthy</t>
  </si>
  <si>
    <t>Jyoti Mangal</t>
  </si>
  <si>
    <t>Vedant Keer</t>
  </si>
  <si>
    <t>Sanaya Gala</t>
  </si>
  <si>
    <t>CUST1142</t>
  </si>
  <si>
    <t>Maanav Khare</t>
  </si>
  <si>
    <t>CUST1143</t>
  </si>
  <si>
    <t>Jonathan Loke</t>
  </si>
  <si>
    <t>CUST1144</t>
  </si>
  <si>
    <t>Isaac Dhillon</t>
  </si>
  <si>
    <t>CUST1145</t>
  </si>
  <si>
    <t>Harish Sibal</t>
  </si>
  <si>
    <t>CUST1146</t>
  </si>
  <si>
    <t>Janani Krishnan</t>
  </si>
  <si>
    <t>Harrison Andra</t>
  </si>
  <si>
    <t>CUST1148</t>
  </si>
  <si>
    <t>Charles Bail</t>
  </si>
  <si>
    <t>CUST1149</t>
  </si>
  <si>
    <t>Janaki Ben</t>
  </si>
  <si>
    <t>CUST1150</t>
  </si>
  <si>
    <t>Eesha Vora</t>
  </si>
  <si>
    <t>CUST1151</t>
  </si>
  <si>
    <t>Vasatika Pau</t>
  </si>
  <si>
    <t>Yuvraj Setty</t>
  </si>
  <si>
    <t>Vrishti Issac</t>
  </si>
  <si>
    <t>CUST1154</t>
  </si>
  <si>
    <t>Nitara Maharaj</t>
  </si>
  <si>
    <t>CUST1155</t>
  </si>
  <si>
    <t>Harita Madan</t>
  </si>
  <si>
    <t>CUST1156</t>
  </si>
  <si>
    <t>Janani Amble</t>
  </si>
  <si>
    <t>CUST1157</t>
  </si>
  <si>
    <t>Nandini Dhawan</t>
  </si>
  <si>
    <t>Sneha Barman</t>
  </si>
  <si>
    <t>Wridesh Arya</t>
  </si>
  <si>
    <t>CUST1160</t>
  </si>
  <si>
    <t>Wahab Iyer</t>
  </si>
  <si>
    <t>CUST1161</t>
  </si>
  <si>
    <t>Ishani Mody</t>
  </si>
  <si>
    <t>Brijesh Basak</t>
  </si>
  <si>
    <t>Onkar Palan</t>
  </si>
  <si>
    <t>Champak Memon</t>
  </si>
  <si>
    <t>CUST1165</t>
  </si>
  <si>
    <t>Charles Char</t>
  </si>
  <si>
    <t>CUST1166</t>
  </si>
  <si>
    <t>Ladli Singh</t>
  </si>
  <si>
    <t>CUST1167</t>
  </si>
  <si>
    <t>Pranav Acharya</t>
  </si>
  <si>
    <t>CUST1168</t>
  </si>
  <si>
    <t>Shaurya Swamy</t>
  </si>
  <si>
    <t>CUST1169</t>
  </si>
  <si>
    <t>Damini Patla</t>
  </si>
  <si>
    <t>Ekavir Shankar</t>
  </si>
  <si>
    <t>CUST1171</t>
  </si>
  <si>
    <t>Irya Dixit</t>
  </si>
  <si>
    <t>CUST1172</t>
  </si>
  <si>
    <t>Amrita Mittal</t>
  </si>
  <si>
    <t>CUST1173</t>
  </si>
  <si>
    <t>Raagini Hari</t>
  </si>
  <si>
    <t>CUST1174</t>
  </si>
  <si>
    <t>Ekbal Shukla</t>
  </si>
  <si>
    <t>CUST1175</t>
  </si>
  <si>
    <t>Barkha Rastogi</t>
  </si>
  <si>
    <t>Vyanjana Sathe</t>
  </si>
  <si>
    <t>Samarth Shan</t>
  </si>
  <si>
    <t>Abeer Talwar</t>
  </si>
  <si>
    <t>CUST1179</t>
  </si>
  <si>
    <t>Dayita Chad</t>
  </si>
  <si>
    <t>Netra Gokhale</t>
  </si>
  <si>
    <t>CUST1181</t>
  </si>
  <si>
    <t>Dominic Thakkar</t>
  </si>
  <si>
    <t>CUST1182</t>
  </si>
  <si>
    <t>Praneel Lal</t>
  </si>
  <si>
    <t>Megha Kanda</t>
  </si>
  <si>
    <t>CUST1184</t>
  </si>
  <si>
    <t>Samuel Soman</t>
  </si>
  <si>
    <t>CUST1185</t>
  </si>
  <si>
    <t>Zayan Jain</t>
  </si>
  <si>
    <t>CUST1186</t>
  </si>
  <si>
    <t>Sarthak Ramakrishnan</t>
  </si>
  <si>
    <t>CUST1187</t>
  </si>
  <si>
    <t>Xavier Kothari</t>
  </si>
  <si>
    <t>CUST1188</t>
  </si>
  <si>
    <t>Zaitra Dewan</t>
  </si>
  <si>
    <t>CUST1189</t>
  </si>
  <si>
    <t>Ayaan Bawa</t>
  </si>
  <si>
    <t>Shravya Mann</t>
  </si>
  <si>
    <t>Bahadurjit Mallick</t>
  </si>
  <si>
    <t>Yoshita Agate</t>
  </si>
  <si>
    <t>CUST1193</t>
  </si>
  <si>
    <t>Qasim Bal</t>
  </si>
  <si>
    <t>Neelima Sarin</t>
  </si>
  <si>
    <t>CUST1195</t>
  </si>
  <si>
    <t>Abhimanyu Sura</t>
  </si>
  <si>
    <t>CUST1196</t>
  </si>
  <si>
    <t>Henry Guha</t>
  </si>
  <si>
    <t>CUST1197</t>
  </si>
  <si>
    <t>Nathaniel Shetty</t>
  </si>
  <si>
    <t>CUST1198</t>
  </si>
  <si>
    <t>Yahvi Kibe</t>
  </si>
  <si>
    <t>CUST1199</t>
  </si>
  <si>
    <t>Isha Om</t>
  </si>
  <si>
    <t>CUST1200</t>
  </si>
  <si>
    <t>Ekanta Parikh</t>
  </si>
  <si>
    <t>CUST1201</t>
  </si>
  <si>
    <t>Aarav Shenoy</t>
  </si>
  <si>
    <t>CUST1202</t>
  </si>
  <si>
    <t>Harish Mohanty</t>
  </si>
  <si>
    <t>Udarsh Bhatnagar</t>
  </si>
  <si>
    <t>CUST1204</t>
  </si>
  <si>
    <t>Leela Bahri</t>
  </si>
  <si>
    <t>Aashi Savant</t>
  </si>
  <si>
    <t>CUST1206</t>
  </si>
  <si>
    <t>Sathvik Vala</t>
  </si>
  <si>
    <t>CUST1207</t>
  </si>
  <si>
    <t>Udyati Nagi</t>
  </si>
  <si>
    <t>CUST1208</t>
  </si>
  <si>
    <t>Lohit Seth</t>
  </si>
  <si>
    <t>Indali Rao</t>
  </si>
  <si>
    <t>CUST1210</t>
  </si>
  <si>
    <t>Harrison Jhaveri</t>
  </si>
  <si>
    <t>CUST1211</t>
  </si>
  <si>
    <t>Akshay Sharaf</t>
  </si>
  <si>
    <t>CUST1212</t>
  </si>
  <si>
    <t>Rohan Mani</t>
  </si>
  <si>
    <t>CUST1213</t>
  </si>
  <si>
    <t>Aarav Sant</t>
  </si>
  <si>
    <t>Vidhi Sundaram</t>
  </si>
  <si>
    <t>CUST1215</t>
  </si>
  <si>
    <t>Anita Gour</t>
  </si>
  <si>
    <t>Ekaraj Ramakrishnan</t>
  </si>
  <si>
    <t>Mitali Mitra</t>
  </si>
  <si>
    <t>CUST1218</t>
  </si>
  <si>
    <t>Ria Nigam</t>
  </si>
  <si>
    <t>CUST1219</t>
  </si>
  <si>
    <t>Ayushman Karnik</t>
  </si>
  <si>
    <t>Chavvi Pandey</t>
  </si>
  <si>
    <t>CUST1221</t>
  </si>
  <si>
    <t>Vasana Bose</t>
  </si>
  <si>
    <t>Edhitha Chaudry</t>
  </si>
  <si>
    <t>CUST1223</t>
  </si>
  <si>
    <t>Rachana Lanka</t>
  </si>
  <si>
    <t>CUST1224</t>
  </si>
  <si>
    <t>Damyanti Barman</t>
  </si>
  <si>
    <t>CUST1225</t>
  </si>
  <si>
    <t>Simon Pandya</t>
  </si>
  <si>
    <t>CUST1226</t>
  </si>
  <si>
    <t>Naksh Kaur</t>
  </si>
  <si>
    <t>Nihal Sura</t>
  </si>
  <si>
    <t>Yug Parmar</t>
  </si>
  <si>
    <t>CUST1229</t>
  </si>
  <si>
    <t>Chakrika Banik</t>
  </si>
  <si>
    <t>CUST1230</t>
  </si>
  <si>
    <t>Advay Murthy</t>
  </si>
  <si>
    <t>Sachi Jani</t>
  </si>
  <si>
    <t>CUST1232</t>
  </si>
  <si>
    <t>Siya Sarkar</t>
  </si>
  <si>
    <t>CUST1233</t>
  </si>
  <si>
    <t>Siddharth Karnik</t>
  </si>
  <si>
    <t>CUST1234</t>
  </si>
  <si>
    <t>Oliver Shah</t>
  </si>
  <si>
    <t>Owen Chaudhary</t>
  </si>
  <si>
    <t>CUST1236</t>
  </si>
  <si>
    <t>Rajeshri Chauhan</t>
  </si>
  <si>
    <t>Shivani Dhaliwal</t>
  </si>
  <si>
    <t>CUST1238</t>
  </si>
  <si>
    <t>Lucky Bhardwaj</t>
  </si>
  <si>
    <t>CUST1239</t>
  </si>
  <si>
    <t>Shivani Vasa</t>
  </si>
  <si>
    <t>CUST1240</t>
  </si>
  <si>
    <t>Karan Agate</t>
  </si>
  <si>
    <t>CUST1241</t>
  </si>
  <si>
    <t>Jeevika Jayaraman</t>
  </si>
  <si>
    <t>CUST1242</t>
  </si>
  <si>
    <t>Tara Sheth</t>
  </si>
  <si>
    <t>CUST1243</t>
  </si>
  <si>
    <t>Caleb Bedi</t>
  </si>
  <si>
    <t>CUST1244</t>
  </si>
  <si>
    <t>Adya Gala</t>
  </si>
  <si>
    <t>CUST1245</t>
  </si>
  <si>
    <t>Karan Kulkarni</t>
  </si>
  <si>
    <t>Aadi Sethi</t>
  </si>
  <si>
    <t>Qadim Kibe</t>
  </si>
  <si>
    <t>Timothy Master</t>
  </si>
  <si>
    <t>Banjeet Panchal</t>
  </si>
  <si>
    <t>CUST1250</t>
  </si>
  <si>
    <t>William Parmar</t>
  </si>
  <si>
    <t>CUST1251</t>
  </si>
  <si>
    <t>Jalsa Shenoy</t>
  </si>
  <si>
    <t>CUST1252</t>
  </si>
  <si>
    <t>Shivani Ram</t>
  </si>
  <si>
    <t>CUST1253</t>
  </si>
  <si>
    <t>Rajata Kapur</t>
  </si>
  <si>
    <t>Oni Dugal</t>
  </si>
  <si>
    <t>CUST1255</t>
  </si>
  <si>
    <t>Advika Master</t>
  </si>
  <si>
    <t>Lakshit Sankar</t>
  </si>
  <si>
    <t>CUST1257</t>
  </si>
  <si>
    <t>Viraj Grewal</t>
  </si>
  <si>
    <t>CUST1258</t>
  </si>
  <si>
    <t>Gavin Borah</t>
  </si>
  <si>
    <t>CUST1259</t>
  </si>
  <si>
    <t>Jeevika Basak</t>
  </si>
  <si>
    <t>CUST1260</t>
  </si>
  <si>
    <t>Hitesh Choudhary</t>
  </si>
  <si>
    <t>CUST1261</t>
  </si>
  <si>
    <t>Tanveer Golla</t>
  </si>
  <si>
    <t>Anusha Saxena</t>
  </si>
  <si>
    <t>Wyatt Dhaliwal</t>
  </si>
  <si>
    <t>Madhav Rama</t>
  </si>
  <si>
    <t>Dakshesh Vasa</t>
  </si>
  <si>
    <t>Hitesh Karpe</t>
  </si>
  <si>
    <t>CUST1267</t>
  </si>
  <si>
    <t>Yachana Bath</t>
  </si>
  <si>
    <t>CUST1268</t>
  </si>
  <si>
    <t>Aarnav Thaman</t>
  </si>
  <si>
    <t>Vasudha Batta</t>
  </si>
  <si>
    <t>CUST1270</t>
  </si>
  <si>
    <t>Thomas Banerjee</t>
  </si>
  <si>
    <t>CUST1271</t>
  </si>
  <si>
    <t>Zarna Kade</t>
  </si>
  <si>
    <t>CUST1272</t>
  </si>
  <si>
    <t>Aadhya Sarin</t>
  </si>
  <si>
    <t>CUST1273</t>
  </si>
  <si>
    <t>Shivansh Butala</t>
  </si>
  <si>
    <t>CUST1274</t>
  </si>
  <si>
    <t>Lekha Bhardwaj</t>
  </si>
  <si>
    <t>CUST1275</t>
  </si>
  <si>
    <t>Christopher Sem</t>
  </si>
  <si>
    <t>CUST1276</t>
  </si>
  <si>
    <t>Urmi Peri</t>
  </si>
  <si>
    <t>CUST1277</t>
  </si>
  <si>
    <t>Zansi Borah</t>
  </si>
  <si>
    <t>CUST1278</t>
  </si>
  <si>
    <t>Kashish Barad</t>
  </si>
  <si>
    <t>CUST1279</t>
  </si>
  <si>
    <t>Zansi Bansal</t>
  </si>
  <si>
    <t>CUST1280</t>
  </si>
  <si>
    <t>Shivani Nagar</t>
  </si>
  <si>
    <t>CUST1281</t>
  </si>
  <si>
    <t>Xiti Buch</t>
  </si>
  <si>
    <t>CUST1282</t>
  </si>
  <si>
    <t>Arin Basu</t>
  </si>
  <si>
    <t>CUST1283</t>
  </si>
  <si>
    <t>Manan Pillay</t>
  </si>
  <si>
    <t>CUST1284</t>
  </si>
  <si>
    <t>Avi Shankar</t>
  </si>
  <si>
    <t>CUST1285</t>
  </si>
  <si>
    <t>Tanmayi Singh</t>
  </si>
  <si>
    <t>CUST1286</t>
  </si>
  <si>
    <t>Manan Basu</t>
  </si>
  <si>
    <t>Yuvraj Nazareth</t>
  </si>
  <si>
    <t>Jeet Hayer</t>
  </si>
  <si>
    <t>CUST1289</t>
  </si>
  <si>
    <t>Chavvi Mani</t>
  </si>
  <si>
    <t>CUST1290</t>
  </si>
  <si>
    <t>Rehaan Bajaj</t>
  </si>
  <si>
    <t>CUST1291</t>
  </si>
  <si>
    <t>Christopher Kamdar</t>
  </si>
  <si>
    <t>Divya Sahota</t>
  </si>
  <si>
    <t>Avni Deo</t>
  </si>
  <si>
    <t>Harrison Dara</t>
  </si>
  <si>
    <t>Vritti Madan</t>
  </si>
  <si>
    <t>CUST1296</t>
  </si>
  <si>
    <t>Zayyan Loyal</t>
  </si>
  <si>
    <t>Onveer Padmanabhan</t>
  </si>
  <si>
    <t>Ishita Mukherjee</t>
  </si>
  <si>
    <t>CUST1299</t>
  </si>
  <si>
    <t>Dominic Jain</t>
  </si>
  <si>
    <t>CUST1300</t>
  </si>
  <si>
    <t>Laban Bali</t>
  </si>
  <si>
    <t>CUST1301</t>
  </si>
  <si>
    <t>Ira Majumdar</t>
  </si>
  <si>
    <t>CUST1302</t>
  </si>
  <si>
    <t>Isha Patla</t>
  </si>
  <si>
    <t>CUST1303</t>
  </si>
  <si>
    <t>Chanakya Devi</t>
  </si>
  <si>
    <t>CUST1304</t>
  </si>
  <si>
    <t>Simon Chandra</t>
  </si>
  <si>
    <t>CUST1305</t>
  </si>
  <si>
    <t>Tanvi Gala</t>
  </si>
  <si>
    <t>Ladli Arora</t>
  </si>
  <si>
    <t>CUST1307</t>
  </si>
  <si>
    <t>Atharv Kalla</t>
  </si>
  <si>
    <t>CUST1308</t>
  </si>
  <si>
    <t>Tanmayi Padmanabhan</t>
  </si>
  <si>
    <t>CUST1309</t>
  </si>
  <si>
    <t>Ayush Gopal</t>
  </si>
  <si>
    <t>CUST1310</t>
  </si>
  <si>
    <t>Bhavani Varkey</t>
  </si>
  <si>
    <t>Jack Rana</t>
  </si>
  <si>
    <t>CUST1312</t>
  </si>
  <si>
    <t>Wakeeta Mannan</t>
  </si>
  <si>
    <t>Mohini Sathe</t>
  </si>
  <si>
    <t>CUST1314</t>
  </si>
  <si>
    <t>Tripti Borra</t>
  </si>
  <si>
    <t>Om Kunda</t>
  </si>
  <si>
    <t>CUST1316</t>
  </si>
  <si>
    <t>Mohini Dugal</t>
  </si>
  <si>
    <t>Kalpit Sengupta</t>
  </si>
  <si>
    <t>CUST1318</t>
  </si>
  <si>
    <t>Balendra Karpe</t>
  </si>
  <si>
    <t>Irya Memon</t>
  </si>
  <si>
    <t>CUST1320</t>
  </si>
  <si>
    <t>Charles Narasimhan</t>
  </si>
  <si>
    <t>Widisha Jhaveri</t>
  </si>
  <si>
    <t>CUST1322</t>
  </si>
  <si>
    <t>Bimala Khurana</t>
  </si>
  <si>
    <t>Anya Badami</t>
  </si>
  <si>
    <t>CUST1324</t>
  </si>
  <si>
    <t>Garima Hari</t>
  </si>
  <si>
    <t>Ekaraj Rajagopalan</t>
  </si>
  <si>
    <t>CUST1326</t>
  </si>
  <si>
    <t>Yutika Tella</t>
  </si>
  <si>
    <t>CUST1327</t>
  </si>
  <si>
    <t>Megha Mann</t>
  </si>
  <si>
    <t>Maanas Krishnamurthy</t>
  </si>
  <si>
    <t>Meghana Bhatt</t>
  </si>
  <si>
    <t>Yadavi Nayak</t>
  </si>
  <si>
    <t>CUST1331</t>
  </si>
  <si>
    <t>Anusha Batta</t>
  </si>
  <si>
    <t>CUST1332</t>
  </si>
  <si>
    <t>Nachiket Ravel</t>
  </si>
  <si>
    <t>CUST1333</t>
  </si>
  <si>
    <t>Chakradhar Natt</t>
  </si>
  <si>
    <t>CUST1334</t>
  </si>
  <si>
    <t>Darika Doshi</t>
  </si>
  <si>
    <t>Urishilla Garde</t>
  </si>
  <si>
    <t>CUST1336</t>
  </si>
  <si>
    <t>Januja Ratta</t>
  </si>
  <si>
    <t>CUST1337</t>
  </si>
  <si>
    <t>Jatin Basu</t>
  </si>
  <si>
    <t>CUST1338</t>
  </si>
  <si>
    <t>Charles Barad</t>
  </si>
  <si>
    <t>CUST1339</t>
  </si>
  <si>
    <t>Harinakshi Mangal</t>
  </si>
  <si>
    <t>Jacob Malhotra</t>
  </si>
  <si>
    <t>Rishi Datta</t>
  </si>
  <si>
    <t>CUST1342</t>
  </si>
  <si>
    <t>Kala Rastogi</t>
  </si>
  <si>
    <t>CUST1343</t>
  </si>
  <si>
    <t>Tara More</t>
  </si>
  <si>
    <t>Faraj Andra</t>
  </si>
  <si>
    <t>CUST1345</t>
  </si>
  <si>
    <t>Harrison Luthra</t>
  </si>
  <si>
    <t>CUST1346</t>
  </si>
  <si>
    <t>Kashvi Sehgal</t>
  </si>
  <si>
    <t>CUST1347</t>
  </si>
  <si>
    <t>Saumya Jha</t>
  </si>
  <si>
    <t>CUST1348</t>
  </si>
  <si>
    <t>Rajata Pandey</t>
  </si>
  <si>
    <t>CUST1349</t>
  </si>
  <si>
    <t>Amaira Pandit</t>
  </si>
  <si>
    <t>CUST1350</t>
  </si>
  <si>
    <t>Radhika Kaul</t>
  </si>
  <si>
    <t>Divya Ben</t>
  </si>
  <si>
    <t>CUST1352</t>
  </si>
  <si>
    <t>Yutika Kothari</t>
  </si>
  <si>
    <t>Krish Naik</t>
  </si>
  <si>
    <t>CUST1354</t>
  </si>
  <si>
    <t>Isha Char</t>
  </si>
  <si>
    <t>CUST1355</t>
  </si>
  <si>
    <t>Samar Nigam</t>
  </si>
  <si>
    <t>Adya Patla</t>
  </si>
  <si>
    <t>CUST1357</t>
  </si>
  <si>
    <t>Naksh Dhingra</t>
  </si>
  <si>
    <t>Lakshmi Bhardwaj</t>
  </si>
  <si>
    <t>CUST1359</t>
  </si>
  <si>
    <t>Agastya Sunder</t>
  </si>
  <si>
    <t>Netra Keer</t>
  </si>
  <si>
    <t>CUST1361</t>
  </si>
  <si>
    <t>Zaid Chowdhury</t>
  </si>
  <si>
    <t>CUST1362</t>
  </si>
  <si>
    <t>Girik Tailor</t>
  </si>
  <si>
    <t>CUST1363</t>
  </si>
  <si>
    <t>Utkarsh Dutt</t>
  </si>
  <si>
    <t>Kevin Wason</t>
  </si>
  <si>
    <t>Ishaan Ram</t>
  </si>
  <si>
    <t>CUST1366</t>
  </si>
  <si>
    <t>Qasim Wagle</t>
  </si>
  <si>
    <t>CUST1367</t>
  </si>
  <si>
    <t>Maanas Panchal</t>
  </si>
  <si>
    <t>Nitara Chatterjee</t>
  </si>
  <si>
    <t>CUST1369</t>
  </si>
  <si>
    <t>Umang Bassi</t>
  </si>
  <si>
    <t>Rehaan Dash</t>
  </si>
  <si>
    <t>CUST1371</t>
  </si>
  <si>
    <t>Amrita Iyengar</t>
  </si>
  <si>
    <t>CUST1372</t>
  </si>
  <si>
    <t>Sneha Seshadri</t>
  </si>
  <si>
    <t>CUST1373</t>
  </si>
  <si>
    <t>Niharika Chada</t>
  </si>
  <si>
    <t>CUST1374</t>
  </si>
  <si>
    <t>Charita Tiwari</t>
  </si>
  <si>
    <t>CUST1375</t>
  </si>
  <si>
    <t>Aayush Singh</t>
  </si>
  <si>
    <t>CUST1376</t>
  </si>
  <si>
    <t>Krishna Palla</t>
  </si>
  <si>
    <t>Brijesh Dara</t>
  </si>
  <si>
    <t>CUST1378</t>
  </si>
  <si>
    <t>Ekalinga Tandon</t>
  </si>
  <si>
    <t>CUST1379</t>
  </si>
  <si>
    <t>Pranav Sen</t>
  </si>
  <si>
    <t>Faqid Mody</t>
  </si>
  <si>
    <t>Maanas Taneja</t>
  </si>
  <si>
    <t>CUST1382</t>
  </si>
  <si>
    <t>Aashi Kibe</t>
  </si>
  <si>
    <t>CUST1383</t>
  </si>
  <si>
    <t>Aarini Nagar</t>
  </si>
  <si>
    <t>Eesha Divan</t>
  </si>
  <si>
    <t>CUST1385</t>
  </si>
  <si>
    <t>Arin Sule</t>
  </si>
  <si>
    <t>CUST1386</t>
  </si>
  <si>
    <t>Daksh Karpe</t>
  </si>
  <si>
    <t>Faqid Dass</t>
  </si>
  <si>
    <t>CUST1388</t>
  </si>
  <si>
    <t>Vasudha Mand</t>
  </si>
  <si>
    <t>Jeevika Bobal</t>
  </si>
  <si>
    <t>CUST1390</t>
  </si>
  <si>
    <t>Riya Sarraf</t>
  </si>
  <si>
    <t>CUST1391</t>
  </si>
  <si>
    <t>Jagat Deo</t>
  </si>
  <si>
    <t>CUST1392</t>
  </si>
  <si>
    <t>Nachiket Toor</t>
  </si>
  <si>
    <t>CUST1393</t>
  </si>
  <si>
    <t>Maya Mohan</t>
  </si>
  <si>
    <t>Dominic Chandra</t>
  </si>
  <si>
    <t>Aishani Merchant</t>
  </si>
  <si>
    <t>CUST1396</t>
  </si>
  <si>
    <t>Amara Pall</t>
  </si>
  <si>
    <t>Leena Sridhar</t>
  </si>
  <si>
    <t>CUST1398</t>
  </si>
  <si>
    <t>Vaishnavi Saran</t>
  </si>
  <si>
    <t>CUST1399</t>
  </si>
  <si>
    <t>Yug Kanda</t>
  </si>
  <si>
    <t>CUST1400</t>
  </si>
  <si>
    <t>Radhika Pathak</t>
  </si>
  <si>
    <t>CUST1401</t>
  </si>
  <si>
    <t>Samar Tella</t>
  </si>
  <si>
    <t>Jai Bansal</t>
  </si>
  <si>
    <t>CUST1403</t>
  </si>
  <si>
    <t>Arya Walia</t>
  </si>
  <si>
    <t>Tristan Sangha</t>
  </si>
  <si>
    <t>CUST1405</t>
  </si>
  <si>
    <t>Eesha Dani</t>
  </si>
  <si>
    <t>CUST1406</t>
  </si>
  <si>
    <t>Jasmit Bedi</t>
  </si>
  <si>
    <t>CUST1407</t>
  </si>
  <si>
    <t>Hredhaan Sood</t>
  </si>
  <si>
    <t>Brijesh Kata</t>
  </si>
  <si>
    <t>CUST1409</t>
  </si>
  <si>
    <t>Lohit Grover</t>
  </si>
  <si>
    <t>Hemangini Pathak</t>
  </si>
  <si>
    <t>Eiravati Narayan</t>
  </si>
  <si>
    <t>CUST1412</t>
  </si>
  <si>
    <t>Chakradev Anne</t>
  </si>
  <si>
    <t>CUST1413</t>
  </si>
  <si>
    <t>Daksha Palla</t>
  </si>
  <si>
    <t>CUST1414</t>
  </si>
  <si>
    <t>Bachittar Bobal</t>
  </si>
  <si>
    <t>CUST1415</t>
  </si>
  <si>
    <t>Nachiket Parikh</t>
  </si>
  <si>
    <t>Isaac Bahri</t>
  </si>
  <si>
    <t>Frederick Lala</t>
  </si>
  <si>
    <t>Mekhala Dhillon</t>
  </si>
  <si>
    <t>Rajeshri Puri</t>
  </si>
  <si>
    <t>CUST1420</t>
  </si>
  <si>
    <t>Zashil Gupta</t>
  </si>
  <si>
    <t>CUST1421</t>
  </si>
  <si>
    <t>Max Vig</t>
  </si>
  <si>
    <t>CUST1422</t>
  </si>
  <si>
    <t>Rehaan Nadig</t>
  </si>
  <si>
    <t>CUST1423</t>
  </si>
  <si>
    <t>Sarthak Acharya</t>
  </si>
  <si>
    <t>Ekta Gulati</t>
  </si>
  <si>
    <t>CUST1425</t>
  </si>
  <si>
    <t>Tanay Saraf</t>
  </si>
  <si>
    <t>CUST1426</t>
  </si>
  <si>
    <t>Aachal Garg</t>
  </si>
  <si>
    <t>CUST1427</t>
  </si>
  <si>
    <t>Vaishnavi Uppal</t>
  </si>
  <si>
    <t>Quincy Patel</t>
  </si>
  <si>
    <t>CUST1429</t>
  </si>
  <si>
    <t>Chanchal Dyal</t>
  </si>
  <si>
    <t>CUST1430</t>
  </si>
  <si>
    <t>David Anne</t>
  </si>
  <si>
    <t>Leena Choudhury</t>
  </si>
  <si>
    <t>Hemal Soman</t>
  </si>
  <si>
    <t>Naksh Wali</t>
  </si>
  <si>
    <t>Pallavi Golla</t>
  </si>
  <si>
    <t>Robert Nagarajan</t>
  </si>
  <si>
    <t>CUST1436</t>
  </si>
  <si>
    <t>Sai Nagar</t>
  </si>
  <si>
    <t>CUST1437</t>
  </si>
  <si>
    <t>Rachita Garg</t>
  </si>
  <si>
    <t>Ekbal Gill</t>
  </si>
  <si>
    <t>CUST1439</t>
  </si>
  <si>
    <t>Gaurav Dugar</t>
  </si>
  <si>
    <t>CUST1440</t>
  </si>
  <si>
    <t>Yauvani Babu</t>
  </si>
  <si>
    <t>CUST1441</t>
  </si>
  <si>
    <t>Shravya Nazareth</t>
  </si>
  <si>
    <t>Chaaya Doshi</t>
  </si>
  <si>
    <t>CUST1443</t>
  </si>
  <si>
    <t>Gagan Kapoor</t>
  </si>
  <si>
    <t>CUST1444</t>
  </si>
  <si>
    <t>Yoshita Sankar</t>
  </si>
  <si>
    <t>CUST1445</t>
  </si>
  <si>
    <t>Yamini Narasimhan</t>
  </si>
  <si>
    <t>Mason Behl</t>
  </si>
  <si>
    <t>CUST1447</t>
  </si>
  <si>
    <t>Harrison Soni</t>
  </si>
  <si>
    <t>CUST1448</t>
  </si>
  <si>
    <t>Samar Rajagopal</t>
  </si>
  <si>
    <t>Amruta Tandon</t>
  </si>
  <si>
    <t>CUST1450</t>
  </si>
  <si>
    <t>Isaac Sankar</t>
  </si>
  <si>
    <t>CUST1451</t>
  </si>
  <si>
    <t>Ekalinga Chakrabarti</t>
  </si>
  <si>
    <t>CUST1452</t>
  </si>
  <si>
    <t>Yagnesh Johal</t>
  </si>
  <si>
    <t>CUST1453</t>
  </si>
  <si>
    <t>Hredhaan Apte</t>
  </si>
  <si>
    <t>Aahana Bera</t>
  </si>
  <si>
    <t>CUST1455</t>
  </si>
  <si>
    <t>Ekaja Saraf</t>
  </si>
  <si>
    <t>CUST1456</t>
  </si>
  <si>
    <t>Chandani Srinivas</t>
  </si>
  <si>
    <t>CUST1457</t>
  </si>
  <si>
    <t>Meghana Sant</t>
  </si>
  <si>
    <t>CUST1458</t>
  </si>
  <si>
    <t>Irya Ramachandran</t>
  </si>
  <si>
    <t>CUST1459</t>
  </si>
  <si>
    <t>Teerth Khosla</t>
  </si>
  <si>
    <t>CUST1460</t>
  </si>
  <si>
    <t>Yashodhara Bakshi</t>
  </si>
  <si>
    <t>CUST1461</t>
  </si>
  <si>
    <t>Jalsa Samra</t>
  </si>
  <si>
    <t>CUST1462</t>
  </si>
  <si>
    <t>Ronith Dhaliwal</t>
  </si>
  <si>
    <t>CUST1463</t>
  </si>
  <si>
    <t>Anthony Reddy</t>
  </si>
  <si>
    <t>CUST1464</t>
  </si>
  <si>
    <t>Zayan Keer</t>
  </si>
  <si>
    <t>CUST1465</t>
  </si>
  <si>
    <t>Dayita Master</t>
  </si>
  <si>
    <t>CUST1466</t>
  </si>
  <si>
    <t>Inaya Deep</t>
  </si>
  <si>
    <t>CUST1467</t>
  </si>
  <si>
    <t>Fitan Bala</t>
  </si>
  <si>
    <t>Gabriel Bahri</t>
  </si>
  <si>
    <t>Vihaan Kannan</t>
  </si>
  <si>
    <t>CUST1470</t>
  </si>
  <si>
    <t>Champak Sathe</t>
  </si>
  <si>
    <t>CUST1471</t>
  </si>
  <si>
    <t>Jack Bhargava</t>
  </si>
  <si>
    <t>Charita Mannan</t>
  </si>
  <si>
    <t>Akshay Peri</t>
  </si>
  <si>
    <t>CUST1474</t>
  </si>
  <si>
    <t>Omkaar Som</t>
  </si>
  <si>
    <t>CUST1475</t>
  </si>
  <si>
    <t>Qushi Kant</t>
  </si>
  <si>
    <t>CUST1476</t>
  </si>
  <si>
    <t>Sarthak Oza</t>
  </si>
  <si>
    <t>CUST1477</t>
  </si>
  <si>
    <t>Daksh Chaudhari</t>
  </si>
  <si>
    <t>Faris Shankar</t>
  </si>
  <si>
    <t>CUST1479</t>
  </si>
  <si>
    <t>Gauri Balan</t>
  </si>
  <si>
    <t>Dalaja Singh</t>
  </si>
  <si>
    <t>CUST1481</t>
  </si>
  <si>
    <t>Riya Sidhu</t>
  </si>
  <si>
    <t>CUST1482</t>
  </si>
  <si>
    <t>Varenya Menon</t>
  </si>
  <si>
    <t>CUST1483</t>
  </si>
  <si>
    <t>Meghana Oza</t>
  </si>
  <si>
    <t>Ikbal Tata</t>
  </si>
  <si>
    <t>CUST1485</t>
  </si>
  <si>
    <t>Lipika Bhatt</t>
  </si>
  <si>
    <t>CUST1486</t>
  </si>
  <si>
    <t>Fiyaz Devi</t>
  </si>
  <si>
    <t>CUST1487</t>
  </si>
  <si>
    <t>Harinakshi Narula</t>
  </si>
  <si>
    <t>CUST1488</t>
  </si>
  <si>
    <t>Max Jayaraman</t>
  </si>
  <si>
    <t>CUST1489</t>
  </si>
  <si>
    <t>Onkar Goyal</t>
  </si>
  <si>
    <t>CUST1490</t>
  </si>
  <si>
    <t>Krish Bala</t>
  </si>
  <si>
    <t>CUST1491</t>
  </si>
  <si>
    <t>Arin Chaudhuri</t>
  </si>
  <si>
    <t>CUST1492</t>
  </si>
  <si>
    <t>Vincent Shah</t>
  </si>
  <si>
    <t>CUST1493</t>
  </si>
  <si>
    <t>Rushil Kala</t>
  </si>
  <si>
    <t>CUST1494</t>
  </si>
  <si>
    <t>Wishi Bajwa</t>
  </si>
  <si>
    <t>CUST1495</t>
  </si>
  <si>
    <t>Ishwar Konda</t>
  </si>
  <si>
    <t>Finn Sachdeva</t>
  </si>
  <si>
    <t>CUST1497</t>
  </si>
  <si>
    <t>Amol Bakshi</t>
  </si>
  <si>
    <t>CUST1498</t>
  </si>
  <si>
    <t>Urvi Bhatia</t>
  </si>
  <si>
    <t>CUST1499</t>
  </si>
  <si>
    <t>Thomas Nagy</t>
  </si>
  <si>
    <t>Krishna Sen</t>
  </si>
  <si>
    <t>CUST1501</t>
  </si>
  <si>
    <t>Bachittar Mital</t>
  </si>
  <si>
    <t>CUST1502</t>
  </si>
  <si>
    <t>Saanvi Bhasin</t>
  </si>
  <si>
    <t>CUST1503</t>
  </si>
  <si>
    <t>Anthony Bhalla</t>
  </si>
  <si>
    <t>Ijaya Sami</t>
  </si>
  <si>
    <t>CUST1505</t>
  </si>
  <si>
    <t>Turvi Savant</t>
  </si>
  <si>
    <t>Dev Sur</t>
  </si>
  <si>
    <t>CUST1507</t>
  </si>
  <si>
    <t>Simon Chand</t>
  </si>
  <si>
    <t>Janya Bansal</t>
  </si>
  <si>
    <t>CUST1509</t>
  </si>
  <si>
    <t>Saksham Shan</t>
  </si>
  <si>
    <t>CUST1510</t>
  </si>
  <si>
    <t>Rudra Chaudhari</t>
  </si>
  <si>
    <t>CUST1511</t>
  </si>
  <si>
    <t>Oeshi Saini</t>
  </si>
  <si>
    <t>CUST1512</t>
  </si>
  <si>
    <t>Aadi Patla</t>
  </si>
  <si>
    <t>Rajeshri Chopra</t>
  </si>
  <si>
    <t>CUST1514</t>
  </si>
  <si>
    <t>Devansh Chatterjee</t>
  </si>
  <si>
    <t>CUST1515</t>
  </si>
  <si>
    <t>Madhav Deshmukh</t>
  </si>
  <si>
    <t>CUST1516</t>
  </si>
  <si>
    <t>Vincent Acharya</t>
  </si>
  <si>
    <t>CUST1517</t>
  </si>
  <si>
    <t>Anamika Viswanathan</t>
  </si>
  <si>
    <t>CUST1518</t>
  </si>
  <si>
    <t>Anmol Sangha</t>
  </si>
  <si>
    <t>CUST1519</t>
  </si>
  <si>
    <t>Timothy Comar</t>
  </si>
  <si>
    <t>CUST1520</t>
  </si>
  <si>
    <t>Meghana Bedi</t>
  </si>
  <si>
    <t>CUST1521</t>
  </si>
  <si>
    <t>Yasti Bhasin</t>
  </si>
  <si>
    <t>CUST1522</t>
  </si>
  <si>
    <t>Forum Borah</t>
  </si>
  <si>
    <t>CUST1523</t>
  </si>
  <si>
    <t>Amol Sha</t>
  </si>
  <si>
    <t>Aashi Kumar</t>
  </si>
  <si>
    <t>CUST1525</t>
  </si>
  <si>
    <t>Saanvi Comar</t>
  </si>
  <si>
    <t>Chaaya Sundaram</t>
  </si>
  <si>
    <t>CUST1527</t>
  </si>
  <si>
    <t>Aarini Bhasin</t>
  </si>
  <si>
    <t>Irya Tara</t>
  </si>
  <si>
    <t>CUST1529</t>
  </si>
  <si>
    <t>Nandini Kadakia</t>
  </si>
  <si>
    <t>Vamakshi Din</t>
  </si>
  <si>
    <t>Panini Chada</t>
  </si>
  <si>
    <t>CUST1532</t>
  </si>
  <si>
    <t>Ekalinga Jhaveri</t>
  </si>
  <si>
    <t>CUST1533</t>
  </si>
  <si>
    <t>Gaurang Solanki</t>
  </si>
  <si>
    <t>CUST1534</t>
  </si>
  <si>
    <t>Anika Sarma</t>
  </si>
  <si>
    <t>Kamala Arya</t>
  </si>
  <si>
    <t>CUST1536</t>
  </si>
  <si>
    <t>Amruta Barad</t>
  </si>
  <si>
    <t>CUST1537</t>
  </si>
  <si>
    <t>Nirja Vala</t>
  </si>
  <si>
    <t>CUST1538</t>
  </si>
  <si>
    <t>Lipika Palla</t>
  </si>
  <si>
    <t>Chaman Subramanian</t>
  </si>
  <si>
    <t>CUST1540</t>
  </si>
  <si>
    <t>Mekhala Parsa</t>
  </si>
  <si>
    <t>Avi Om</t>
  </si>
  <si>
    <t>CUST1542</t>
  </si>
  <si>
    <t>Praneel Bajaj</t>
  </si>
  <si>
    <t>CUST1543</t>
  </si>
  <si>
    <t>Rohan Pillay</t>
  </si>
  <si>
    <t>CUST1544</t>
  </si>
  <si>
    <t>Urvashi Nazareth</t>
  </si>
  <si>
    <t>Upasna Mani</t>
  </si>
  <si>
    <t>Ekantika Sani</t>
  </si>
  <si>
    <t>CUST1547</t>
  </si>
  <si>
    <t>Yash Ramaswamy</t>
  </si>
  <si>
    <t>CUST1548</t>
  </si>
  <si>
    <t>Kevin Pal</t>
  </si>
  <si>
    <t>Jairaj Om</t>
  </si>
  <si>
    <t>CUST1550</t>
  </si>
  <si>
    <t>Tarak Anand</t>
  </si>
  <si>
    <t>CUST1551</t>
  </si>
  <si>
    <t>Reva Manne</t>
  </si>
  <si>
    <t>CUST1552</t>
  </si>
  <si>
    <t>Isha Viswanathan</t>
  </si>
  <si>
    <t>CUST1553</t>
  </si>
  <si>
    <t>Keya Hora</t>
  </si>
  <si>
    <t>CUST1554</t>
  </si>
  <si>
    <t>Anthony Dhar</t>
  </si>
  <si>
    <t>CUST1555</t>
  </si>
  <si>
    <t>Rajeshri Pandit</t>
  </si>
  <si>
    <t>CUST1556</t>
  </si>
  <si>
    <t>Unnati Chauhan</t>
  </si>
  <si>
    <t>Anay Kalita</t>
  </si>
  <si>
    <t>CUST1558</t>
  </si>
  <si>
    <t>Gayathri Nazareth</t>
  </si>
  <si>
    <t>Sai Chacko</t>
  </si>
  <si>
    <t>CUST1560</t>
  </si>
  <si>
    <t>Panini Krishnamurthy</t>
  </si>
  <si>
    <t>CUST1561</t>
  </si>
  <si>
    <t>Vansha Mody</t>
  </si>
  <si>
    <t>CUST1562</t>
  </si>
  <si>
    <t>Ojasvi Rajan</t>
  </si>
  <si>
    <t>CUST1563</t>
  </si>
  <si>
    <t>Thomas Ghose</t>
  </si>
  <si>
    <t>CUST1564</t>
  </si>
  <si>
    <t>Yashodhara Sha</t>
  </si>
  <si>
    <t>CUST1565</t>
  </si>
  <si>
    <t>Shravya Ramanathan</t>
  </si>
  <si>
    <t>Bhavna Dugal</t>
  </si>
  <si>
    <t>CUST1567</t>
  </si>
  <si>
    <t>Ishanvi Mani</t>
  </si>
  <si>
    <t>Geetika Dara</t>
  </si>
  <si>
    <t>Balhaar Bains</t>
  </si>
  <si>
    <t>CUST1570</t>
  </si>
  <si>
    <t>Barkha Loyal</t>
  </si>
  <si>
    <t>CUST1571</t>
  </si>
  <si>
    <t>Jhalak Kothari</t>
  </si>
  <si>
    <t>Baghyawati Sekhon</t>
  </si>
  <si>
    <t>Yochana Kaur</t>
  </si>
  <si>
    <t>CUST1574</t>
  </si>
  <si>
    <t>Hema Palan</t>
  </si>
  <si>
    <t>CUST1575</t>
  </si>
  <si>
    <t>Indrajit Pandit</t>
  </si>
  <si>
    <t>CUST1576</t>
  </si>
  <si>
    <t>Daksha Sheth</t>
  </si>
  <si>
    <t>Shravya Vaidya</t>
  </si>
  <si>
    <t>CUST1578</t>
  </si>
  <si>
    <t>Yagnesh Batra</t>
  </si>
  <si>
    <t>Unnati Mangat</t>
  </si>
  <si>
    <t>CUST1580</t>
  </si>
  <si>
    <t>Bhavya Mane</t>
  </si>
  <si>
    <t>Ijaya Bhasin</t>
  </si>
  <si>
    <t>Ikshita Sahni</t>
  </si>
  <si>
    <t>Hemal Wali</t>
  </si>
  <si>
    <t>Samesh Ramesh</t>
  </si>
  <si>
    <t>Madhav Bhat</t>
  </si>
  <si>
    <t>CUST1586</t>
  </si>
  <si>
    <t>Bahadurjit Saran</t>
  </si>
  <si>
    <t>CUST1587</t>
  </si>
  <si>
    <t>Urishilla Nath</t>
  </si>
  <si>
    <t>CUST1588</t>
  </si>
  <si>
    <t>Abdul Bedi</t>
  </si>
  <si>
    <t>Champak Kapur</t>
  </si>
  <si>
    <t>CUST1590</t>
  </si>
  <si>
    <t>Henry Gokhale</t>
  </si>
  <si>
    <t>CUST1591</t>
  </si>
  <si>
    <t>Nisha Naidu</t>
  </si>
  <si>
    <t>Brinda Behl</t>
  </si>
  <si>
    <t>CUST1593</t>
  </si>
  <si>
    <t>Hiral Kibe</t>
  </si>
  <si>
    <t>CUST1594</t>
  </si>
  <si>
    <t>Anmol Bava</t>
  </si>
  <si>
    <t>CUST1595</t>
  </si>
  <si>
    <t>Ekani Boase</t>
  </si>
  <si>
    <t>Raksha Khanna</t>
  </si>
  <si>
    <t>CUST1597</t>
  </si>
  <si>
    <t>Ekavir Srinivas</t>
  </si>
  <si>
    <t>CUST1598</t>
  </si>
  <si>
    <t>Urvashi Pillai</t>
  </si>
  <si>
    <t>CUST1599</t>
  </si>
  <si>
    <t>Unnati Datta</t>
  </si>
  <si>
    <t>CUST1600</t>
  </si>
  <si>
    <t>Meera Shankar</t>
  </si>
  <si>
    <t>CUST1601</t>
  </si>
  <si>
    <t>Omisha Chakrabarti</t>
  </si>
  <si>
    <t>CUST1602</t>
  </si>
  <si>
    <t>Yashica Kant</t>
  </si>
  <si>
    <t>CUST1603</t>
  </si>
  <si>
    <t>Vamakshi Dugar</t>
  </si>
  <si>
    <t>CUST1604</t>
  </si>
  <si>
    <t>Rushil Subramanian</t>
  </si>
  <si>
    <t>CUST1605</t>
  </si>
  <si>
    <t>Vaishnavi Sekhon</t>
  </si>
  <si>
    <t>Nimrat Buch</t>
  </si>
  <si>
    <t>Warinder Mutti</t>
  </si>
  <si>
    <t>Mahika Morar</t>
  </si>
  <si>
    <t>Qasim Halder</t>
  </si>
  <si>
    <t>Garima Babu</t>
  </si>
  <si>
    <t>CUST1611</t>
  </si>
  <si>
    <t>Arunima Karan</t>
  </si>
  <si>
    <t>CUST1612</t>
  </si>
  <si>
    <t>Kavya Deo</t>
  </si>
  <si>
    <t>Nidhi Ramesh</t>
  </si>
  <si>
    <t>CUST1614</t>
  </si>
  <si>
    <t>Yashasvi Shere</t>
  </si>
  <si>
    <t>CUST1615</t>
  </si>
  <si>
    <t>Bachittar Raghavan</t>
  </si>
  <si>
    <t>Raksha Bahl</t>
  </si>
  <si>
    <t>CUST1617</t>
  </si>
  <si>
    <t>Samuel Srivastava</t>
  </si>
  <si>
    <t>CUST1618</t>
  </si>
  <si>
    <t>Om Dhaliwal</t>
  </si>
  <si>
    <t>CUST1619</t>
  </si>
  <si>
    <t>Janani Srivastava</t>
  </si>
  <si>
    <t>CUST1620</t>
  </si>
  <si>
    <t>Qushi Chokshi</t>
  </si>
  <si>
    <t>CUST1621</t>
  </si>
  <si>
    <t>Vincent Master</t>
  </si>
  <si>
    <t>CUST1622</t>
  </si>
  <si>
    <t>Yatan Sastry</t>
  </si>
  <si>
    <t>Guneet Batra</t>
  </si>
  <si>
    <t>Advik Sarma</t>
  </si>
  <si>
    <t>Quincy Karpe</t>
  </si>
  <si>
    <t>CUST1626</t>
  </si>
  <si>
    <t>Wakeeta Bala</t>
  </si>
  <si>
    <t>Yashawini Batra</t>
  </si>
  <si>
    <t>Aishani Vohra</t>
  </si>
  <si>
    <t>CUST1629</t>
  </si>
  <si>
    <t>Gavin Singhal</t>
  </si>
  <si>
    <t>CUST1630</t>
  </si>
  <si>
    <t>Pranit Sagar</t>
  </si>
  <si>
    <t>CUST1631</t>
  </si>
  <si>
    <t>Kabir Ramesh</t>
  </si>
  <si>
    <t>CUST1632</t>
  </si>
  <si>
    <t>Aahana Bhandari</t>
  </si>
  <si>
    <t>CUST1633</t>
  </si>
  <si>
    <t>Ekansh Thaker</t>
  </si>
  <si>
    <t>Faraj Butala</t>
  </si>
  <si>
    <t>Ishwar Mangal</t>
  </si>
  <si>
    <t>CUST1636</t>
  </si>
  <si>
    <t>Dev Nanda</t>
  </si>
  <si>
    <t>CUST1637</t>
  </si>
  <si>
    <t>Yoshita Dugar</t>
  </si>
  <si>
    <t>CUST1638</t>
  </si>
  <si>
    <t>Gaurav Shanker</t>
  </si>
  <si>
    <t>Ekantika Chowdhury</t>
  </si>
  <si>
    <t>Ria Sachar</t>
  </si>
  <si>
    <t>Vivaan Puri</t>
  </si>
  <si>
    <t>CUST1642</t>
  </si>
  <si>
    <t>Omya Sarraf</t>
  </si>
  <si>
    <t>CUST1643</t>
  </si>
  <si>
    <t>Timothy Walia</t>
  </si>
  <si>
    <t>CUST1644</t>
  </si>
  <si>
    <t>Onkar Sami</t>
  </si>
  <si>
    <t>CUST1645</t>
  </si>
  <si>
    <t>Lekha Choudhary</t>
  </si>
  <si>
    <t>CUST1646</t>
  </si>
  <si>
    <t>Farhan Dutta</t>
  </si>
  <si>
    <t>CUST1647</t>
  </si>
  <si>
    <t>Rushil Bhagat</t>
  </si>
  <si>
    <t>CUST1648</t>
  </si>
  <si>
    <t>Theodore Chaudhry</t>
  </si>
  <si>
    <t>CUST1649</t>
  </si>
  <si>
    <t>Rishi Pillay</t>
  </si>
  <si>
    <t>CUST1650</t>
  </si>
  <si>
    <t>Aayush Mitra</t>
  </si>
  <si>
    <t>Kashish Kanda</t>
  </si>
  <si>
    <t>Udyati Ramesh</t>
  </si>
  <si>
    <t>Ishita Andra</t>
  </si>
  <si>
    <t>CUST1654</t>
  </si>
  <si>
    <t>Dominic Basu</t>
  </si>
  <si>
    <t>CUST1655</t>
  </si>
  <si>
    <t>Dhruv Krish</t>
  </si>
  <si>
    <t>CUST1656</t>
  </si>
  <si>
    <t>Raagini Jani</t>
  </si>
  <si>
    <t>CUST1657</t>
  </si>
  <si>
    <t>Christopher Dalal</t>
  </si>
  <si>
    <t>CUST1658</t>
  </si>
  <si>
    <t>Reyansh Balasubramanian</t>
  </si>
  <si>
    <t>CUST1659</t>
  </si>
  <si>
    <t>Darika Ben</t>
  </si>
  <si>
    <t>CUST1660</t>
  </si>
  <si>
    <t>Samuel Sankaran</t>
  </si>
  <si>
    <t>CUST1661</t>
  </si>
  <si>
    <t>Jagrati Behl</t>
  </si>
  <si>
    <t>CUST1662</t>
  </si>
  <si>
    <t>Turvi Ramakrishnan</t>
  </si>
  <si>
    <t>Lekha De</t>
  </si>
  <si>
    <t>CUST1664</t>
  </si>
  <si>
    <t>Qadim Gera</t>
  </si>
  <si>
    <t>Jackson Divan</t>
  </si>
  <si>
    <t>Dakshesh Keer</t>
  </si>
  <si>
    <t>CUST1667</t>
  </si>
  <si>
    <t>Parth Panchal</t>
  </si>
  <si>
    <t>CUST1668</t>
  </si>
  <si>
    <t>Manya Sampath</t>
  </si>
  <si>
    <t>CUST1669</t>
  </si>
  <si>
    <t>Girindra Agate</t>
  </si>
  <si>
    <t>CUST1670</t>
  </si>
  <si>
    <t>Nidra Din</t>
  </si>
  <si>
    <t>CUST1671</t>
  </si>
  <si>
    <t>Arjun Gill</t>
  </si>
  <si>
    <t>Yauvani Mannan</t>
  </si>
  <si>
    <t>CUST1673</t>
  </si>
  <si>
    <t>Baljiwan Koshy</t>
  </si>
  <si>
    <t>CUST1674</t>
  </si>
  <si>
    <t>Harini Sahni</t>
  </si>
  <si>
    <t>CUST1675</t>
  </si>
  <si>
    <t>Vasatika Bhardwaj</t>
  </si>
  <si>
    <t>Banjeet Datta</t>
  </si>
  <si>
    <t>CUST1677</t>
  </si>
  <si>
    <t>Netra Rao</t>
  </si>
  <si>
    <t>CUST1678</t>
  </si>
  <si>
    <t>Kala Sidhu</t>
  </si>
  <si>
    <t>Sathvik Nadig</t>
  </si>
  <si>
    <t>CUST1680</t>
  </si>
  <si>
    <t>Balveer Jhaveri</t>
  </si>
  <si>
    <t>CUST1681</t>
  </si>
  <si>
    <t>Madhav Subramanian</t>
  </si>
  <si>
    <t>Anirudh Dara</t>
  </si>
  <si>
    <t>Harini Rajan</t>
  </si>
  <si>
    <t>CUST1684</t>
  </si>
  <si>
    <t>Luke Sengupta</t>
  </si>
  <si>
    <t>CUST1685</t>
  </si>
  <si>
    <t>Bhavna Ramesh</t>
  </si>
  <si>
    <t>CUST1686</t>
  </si>
  <si>
    <t>Dayita Gour</t>
  </si>
  <si>
    <t>CUST1687</t>
  </si>
  <si>
    <t>Adweta Karnik</t>
  </si>
  <si>
    <t>CUST1688</t>
  </si>
  <si>
    <t>Isha Palan</t>
  </si>
  <si>
    <t>CUST1689</t>
  </si>
  <si>
    <t>Triya Brar</t>
  </si>
  <si>
    <t>CUST1690</t>
  </si>
  <si>
    <t>Aditya Majumdar</t>
  </si>
  <si>
    <t>Bhavini Padmanabhan</t>
  </si>
  <si>
    <t>Bhavini Bir</t>
  </si>
  <si>
    <t>CUST1693</t>
  </si>
  <si>
    <t>Eshana Bajaj</t>
  </si>
  <si>
    <t>CUST1694</t>
  </si>
  <si>
    <t>Maya Dara</t>
  </si>
  <si>
    <t>CUST1695</t>
  </si>
  <si>
    <t>Nathan Virk</t>
  </si>
  <si>
    <t>Zarna Bedi</t>
  </si>
  <si>
    <t>CUST1697</t>
  </si>
  <si>
    <t>Azaan Andra</t>
  </si>
  <si>
    <t>CUST1698</t>
  </si>
  <si>
    <t>Adya Dada</t>
  </si>
  <si>
    <t>CUST1699</t>
  </si>
  <si>
    <t>Onkar Ramachandran</t>
  </si>
  <si>
    <t>CUST1700</t>
  </si>
  <si>
    <t>Yoshita Dyal</t>
  </si>
  <si>
    <t>Nidra Keer</t>
  </si>
  <si>
    <t>CUST1702</t>
  </si>
  <si>
    <t>Hredhaan Divan</t>
  </si>
  <si>
    <t>CUST1703</t>
  </si>
  <si>
    <t>Bhanumati Sheth</t>
  </si>
  <si>
    <t>CUST1704</t>
  </si>
  <si>
    <t>Aadi Malhotra</t>
  </si>
  <si>
    <t>Imaran Mannan</t>
  </si>
  <si>
    <t>CUST1706</t>
  </si>
  <si>
    <t>Jacob Boase</t>
  </si>
  <si>
    <t>Sneha Bahl</t>
  </si>
  <si>
    <t>CUST1708</t>
  </si>
  <si>
    <t>Harinakshi Patil</t>
  </si>
  <si>
    <t>Advika Viswanathan</t>
  </si>
  <si>
    <t>CUST1710</t>
  </si>
  <si>
    <t>Krishna Kulkarni</t>
  </si>
  <si>
    <t>CUST1711</t>
  </si>
  <si>
    <t>Laksh Shah</t>
  </si>
  <si>
    <t>Udant Prabhakar</t>
  </si>
  <si>
    <t>CUST1713</t>
  </si>
  <si>
    <t>Edhitha Shere</t>
  </si>
  <si>
    <t>CUST1714</t>
  </si>
  <si>
    <t>Anirudh Deshpande</t>
  </si>
  <si>
    <t>CUST1715</t>
  </si>
  <si>
    <t>David Kalla</t>
  </si>
  <si>
    <t>Yauvani Narula</t>
  </si>
  <si>
    <t>CUST1717</t>
  </si>
  <si>
    <t>David Banik</t>
  </si>
  <si>
    <t>Pavani Agrawal</t>
  </si>
  <si>
    <t>CUST1719</t>
  </si>
  <si>
    <t>Daksh Chauhan</t>
  </si>
  <si>
    <t>Kavya Pandya</t>
  </si>
  <si>
    <t>CUST1721</t>
  </si>
  <si>
    <t>Arjun Vora</t>
  </si>
  <si>
    <t>Damyanti Bumb</t>
  </si>
  <si>
    <t>CUST1723</t>
  </si>
  <si>
    <t>Inaya Lata</t>
  </si>
  <si>
    <t>CUST1724</t>
  </si>
  <si>
    <t>Jack Sachdeva</t>
  </si>
  <si>
    <t>CUST1725</t>
  </si>
  <si>
    <t>Gavin Korpal</t>
  </si>
  <si>
    <t>CUST1726</t>
  </si>
  <si>
    <t>Nakul Ben</t>
  </si>
  <si>
    <t>CUST1727</t>
  </si>
  <si>
    <t>Ekta Dhawan</t>
  </si>
  <si>
    <t>CUST1728</t>
  </si>
  <si>
    <t>Mohammed Dubey</t>
  </si>
  <si>
    <t>CUST1729</t>
  </si>
  <si>
    <t>Hemani Seth</t>
  </si>
  <si>
    <t>CUST1730</t>
  </si>
  <si>
    <t>Naksh Purohit</t>
  </si>
  <si>
    <t>CUST1731</t>
  </si>
  <si>
    <t>Ranbir Tank</t>
  </si>
  <si>
    <t>CUST1732</t>
  </si>
  <si>
    <t>Zaid Nazareth</t>
  </si>
  <si>
    <t>CUST1733</t>
  </si>
  <si>
    <t>Shravya Bhakta</t>
  </si>
  <si>
    <t>CUST1734</t>
  </si>
  <si>
    <t>Harrison Sahota</t>
  </si>
  <si>
    <t>CUST1735</t>
  </si>
  <si>
    <t>Zilmil Narayan</t>
  </si>
  <si>
    <t>CUST1736</t>
  </si>
  <si>
    <t>Logan Cherian</t>
  </si>
  <si>
    <t>Banjeet Sarna</t>
  </si>
  <si>
    <t>CUST1738</t>
  </si>
  <si>
    <t>Qarin Basak</t>
  </si>
  <si>
    <t>Udarsh Lall</t>
  </si>
  <si>
    <t>CUST1740</t>
  </si>
  <si>
    <t>George Manne</t>
  </si>
  <si>
    <t>Nicholas Sanghvi</t>
  </si>
  <si>
    <t>CUST1742</t>
  </si>
  <si>
    <t>Udyati Sani</t>
  </si>
  <si>
    <t>CUST1743</t>
  </si>
  <si>
    <t>Lohit Tara</t>
  </si>
  <si>
    <t>CUST1744</t>
  </si>
  <si>
    <t>Upadhriti Batta</t>
  </si>
  <si>
    <t>CUST1745</t>
  </si>
  <si>
    <t>Daksh Sidhu</t>
  </si>
  <si>
    <t>CUST1746</t>
  </si>
  <si>
    <t>Mahika Kaul</t>
  </si>
  <si>
    <t>CUST1747</t>
  </si>
  <si>
    <t>William Kala</t>
  </si>
  <si>
    <t>CUST1748</t>
  </si>
  <si>
    <t>Brinda Bhavsar</t>
  </si>
  <si>
    <t>Warinder Saxena</t>
  </si>
  <si>
    <t>Janani Dhingra</t>
  </si>
  <si>
    <t>Quincy Prakash</t>
  </si>
  <si>
    <t>CUST1752</t>
  </si>
  <si>
    <t>CUST1753</t>
  </si>
  <si>
    <t>Luke Sahota</t>
  </si>
  <si>
    <t>CUST1754</t>
  </si>
  <si>
    <t>Jason Yohannan</t>
  </si>
  <si>
    <t>CUST1755</t>
  </si>
  <si>
    <t>Bhavani Barad</t>
  </si>
  <si>
    <t>Luke Palla</t>
  </si>
  <si>
    <t>Sathvik Parmer</t>
  </si>
  <si>
    <t>CUST1758</t>
  </si>
  <si>
    <t>Dev Buch</t>
  </si>
  <si>
    <t>Faraj Ray</t>
  </si>
  <si>
    <t>CUST1760</t>
  </si>
  <si>
    <t>Janani Chacko</t>
  </si>
  <si>
    <t>CUST1761</t>
  </si>
  <si>
    <t>Madhav Vala</t>
  </si>
  <si>
    <t>CUST1762</t>
  </si>
  <si>
    <t>Inaya Ben</t>
  </si>
  <si>
    <t>CUST1763</t>
  </si>
  <si>
    <t>Yatin Chokshi</t>
  </si>
  <si>
    <t>CUST1764</t>
  </si>
  <si>
    <t>Aadi Korpal</t>
  </si>
  <si>
    <t>CUST1765</t>
  </si>
  <si>
    <t>Pranit Arya</t>
  </si>
  <si>
    <t>CUST1766</t>
  </si>
  <si>
    <t>Mohammed Chaudhry</t>
  </si>
  <si>
    <t>CUST1767</t>
  </si>
  <si>
    <t>Arin Lall</t>
  </si>
  <si>
    <t>CUST1768</t>
  </si>
  <si>
    <t>Yashasvi Behl</t>
  </si>
  <si>
    <t>CUST1769</t>
  </si>
  <si>
    <t>Ekta Mani</t>
  </si>
  <si>
    <t>CUST1770</t>
  </si>
  <si>
    <t>Vinaya Nath</t>
  </si>
  <si>
    <t>Teerth Bajaj</t>
  </si>
  <si>
    <t>CUST1772</t>
  </si>
  <si>
    <t>Prisha Sarkar</t>
  </si>
  <si>
    <t>Aarush Mann</t>
  </si>
  <si>
    <t>Jack Sarraf</t>
  </si>
  <si>
    <t>CUST1775</t>
  </si>
  <si>
    <t>Aayush Sundaram</t>
  </si>
  <si>
    <t>CUST1776</t>
  </si>
  <si>
    <t>Dayita Lata</t>
  </si>
  <si>
    <t>CUST1777</t>
  </si>
  <si>
    <t>Nilima Deep</t>
  </si>
  <si>
    <t>CUST1778</t>
  </si>
  <si>
    <t>Shivani Patla</t>
  </si>
  <si>
    <t>CUST1779</t>
  </si>
  <si>
    <t>Chasmum Date</t>
  </si>
  <si>
    <t>Faqid Kadakia</t>
  </si>
  <si>
    <t>CUST1781</t>
  </si>
  <si>
    <t>Manbir Murty</t>
  </si>
  <si>
    <t>CUST1782</t>
  </si>
  <si>
    <t>Anthony Gupta</t>
  </si>
  <si>
    <t>CUST1783</t>
  </si>
  <si>
    <t>Shaurya Mohan</t>
  </si>
  <si>
    <t>Kalpit Bhandari</t>
  </si>
  <si>
    <t>CUST1785</t>
  </si>
  <si>
    <t>Sarthak Gupta</t>
  </si>
  <si>
    <t>Ayushman Gupta</t>
  </si>
  <si>
    <t>CUST1787</t>
  </si>
  <si>
    <t>Janya Gole</t>
  </si>
  <si>
    <t>CUST1788</t>
  </si>
  <si>
    <t>Kritika Shankar</t>
  </si>
  <si>
    <t>Jacob Varkey</t>
  </si>
  <si>
    <t>CUST1790</t>
  </si>
  <si>
    <t>Varsha Goswami</t>
  </si>
  <si>
    <t>CUST1791</t>
  </si>
  <si>
    <t>Sudiksha Balasubramanian</t>
  </si>
  <si>
    <t>CUST1792</t>
  </si>
  <si>
    <t>Hemal Randhawa</t>
  </si>
  <si>
    <t>CUST1793</t>
  </si>
  <si>
    <t>Nisha Mohan</t>
  </si>
  <si>
    <t>CUST1794</t>
  </si>
  <si>
    <t>Yatin Dayal</t>
  </si>
  <si>
    <t>CUST1795</t>
  </si>
  <si>
    <t>Meera Khatri</t>
  </si>
  <si>
    <t>Priya Bhardwaj</t>
  </si>
  <si>
    <t>Qushi Wali</t>
  </si>
  <si>
    <t>CUST1798</t>
  </si>
  <si>
    <t>Owen Savant</t>
  </si>
  <si>
    <t>Anya Parmar</t>
  </si>
  <si>
    <t>CUST1800</t>
  </si>
  <si>
    <t>Chatura Bhandari</t>
  </si>
  <si>
    <t>Veda Nadkarni</t>
  </si>
  <si>
    <t>Inaya Mangal</t>
  </si>
  <si>
    <t>CUST1803</t>
  </si>
  <si>
    <t>Zehaan Kumer</t>
  </si>
  <si>
    <t>Tejas Nath</t>
  </si>
  <si>
    <t>CUST1805</t>
  </si>
  <si>
    <t>Samaksh Mandal</t>
  </si>
  <si>
    <t>CUST1806</t>
  </si>
  <si>
    <t>Siya Balay</t>
  </si>
  <si>
    <t>CUST1807</t>
  </si>
  <si>
    <t>Kiaan Hans</t>
  </si>
  <si>
    <t>CUST1808</t>
  </si>
  <si>
    <t>Anvi Chada</t>
  </si>
  <si>
    <t>CUST1809</t>
  </si>
  <si>
    <t>Robert Krishnan</t>
  </si>
  <si>
    <t>CUST1810</t>
  </si>
  <si>
    <t>Anita Sampath</t>
  </si>
  <si>
    <t>CUST1811</t>
  </si>
  <si>
    <t>Pavani Iyengar</t>
  </si>
  <si>
    <t>CUST1812</t>
  </si>
  <si>
    <t>Faraj Ratti</t>
  </si>
  <si>
    <t>CUST1813</t>
  </si>
  <si>
    <t>Hritik Shetty</t>
  </si>
  <si>
    <t>Chandani Apte</t>
  </si>
  <si>
    <t>CUST1815</t>
  </si>
  <si>
    <t>Raghav Raj</t>
  </si>
  <si>
    <t>CUST1816</t>
  </si>
  <si>
    <t>Anjali Kapoor</t>
  </si>
  <si>
    <t>Zaitra Vaidya</t>
  </si>
  <si>
    <t>CUST1818</t>
  </si>
  <si>
    <t>Xavier Dhingra</t>
  </si>
  <si>
    <t>CUST1819</t>
  </si>
  <si>
    <t>Manthan Bir</t>
  </si>
  <si>
    <t>CUST1820</t>
  </si>
  <si>
    <t>Nandini Merchant</t>
  </si>
  <si>
    <t>Radhika Chand</t>
  </si>
  <si>
    <t>CUST1822</t>
  </si>
  <si>
    <t>Advay Hegde</t>
  </si>
  <si>
    <t>CUST1823</t>
  </si>
  <si>
    <t>Nitara Dhingra</t>
  </si>
  <si>
    <t>CUST1824</t>
  </si>
  <si>
    <t>Yasti Parmar</t>
  </si>
  <si>
    <t>CUST1825</t>
  </si>
  <si>
    <t>Sanya Varma</t>
  </si>
  <si>
    <t>Chameli Shankar</t>
  </si>
  <si>
    <t>CUST1827</t>
  </si>
  <si>
    <t>Anya Barad</t>
  </si>
  <si>
    <t>Sachi Ganesan</t>
  </si>
  <si>
    <t>Yahvi Khalsa</t>
  </si>
  <si>
    <t>CUST1830</t>
  </si>
  <si>
    <t>Dayita Memon</t>
  </si>
  <si>
    <t>Employee_ID</t>
  </si>
  <si>
    <t>Employee_Name</t>
  </si>
  <si>
    <t>Department</t>
  </si>
  <si>
    <t>Designation</t>
  </si>
  <si>
    <t>Salary</t>
  </si>
  <si>
    <t>Joining_Date</t>
  </si>
  <si>
    <t>Shift</t>
  </si>
  <si>
    <t>EMP001</t>
  </si>
  <si>
    <t>Jairaj Kala</t>
  </si>
  <si>
    <t>Finance</t>
  </si>
  <si>
    <t>Finance Executive</t>
  </si>
  <si>
    <t>Maharastra</t>
  </si>
  <si>
    <t>Night</t>
  </si>
  <si>
    <t>EMP002</t>
  </si>
  <si>
    <t>Vidhi Puri</t>
  </si>
  <si>
    <t>HR</t>
  </si>
  <si>
    <t>HR Executive</t>
  </si>
  <si>
    <t>Morning</t>
  </si>
  <si>
    <t>EMP003</t>
  </si>
  <si>
    <t>Victor Ranganathan</t>
  </si>
  <si>
    <t>Evening</t>
  </si>
  <si>
    <t>EMP004</t>
  </si>
  <si>
    <t>Sai Deshpande</t>
  </si>
  <si>
    <t>Maintenance</t>
  </si>
  <si>
    <t>Technician</t>
  </si>
  <si>
    <t>Gujrat</t>
  </si>
  <si>
    <t>EMP005</t>
  </si>
  <si>
    <t>Atharv Bumb</t>
  </si>
  <si>
    <t>Electrician</t>
  </si>
  <si>
    <t>EMP006</t>
  </si>
  <si>
    <t>Amaira Kunda</t>
  </si>
  <si>
    <t>Security</t>
  </si>
  <si>
    <t>Security Supervisor</t>
  </si>
  <si>
    <t>Bangluru</t>
  </si>
  <si>
    <t>EMP007</t>
  </si>
  <si>
    <t>Shivansh Vig</t>
  </si>
  <si>
    <t>Kitchen</t>
  </si>
  <si>
    <t>Sous Chef</t>
  </si>
  <si>
    <t>EMP008</t>
  </si>
  <si>
    <t>Januja Yogi</t>
  </si>
  <si>
    <t>HR Manager</t>
  </si>
  <si>
    <t>Bhopa</t>
  </si>
  <si>
    <t>EMP009</t>
  </si>
  <si>
    <t>Lucky Trivedi</t>
  </si>
  <si>
    <t>EMP010</t>
  </si>
  <si>
    <t>Aradhana Batra</t>
  </si>
  <si>
    <t>Housekeeping</t>
  </si>
  <si>
    <t>Supervisor</t>
  </si>
  <si>
    <t>EMP011</t>
  </si>
  <si>
    <t>Balvan Kanda</t>
  </si>
  <si>
    <t>Spa</t>
  </si>
  <si>
    <t>Spa Therapist</t>
  </si>
  <si>
    <t>EMP058</t>
  </si>
  <si>
    <t>Harshil Chaudhari</t>
  </si>
  <si>
    <t>EMP013</t>
  </si>
  <si>
    <t>Finn Shroff</t>
  </si>
  <si>
    <t>EMP014</t>
  </si>
  <si>
    <t>Kamya Butala</t>
  </si>
  <si>
    <t>Ahemdabad</t>
  </si>
  <si>
    <t>EMP015</t>
  </si>
  <si>
    <t>Lohit Khurana</t>
  </si>
  <si>
    <t>Security Guard</t>
  </si>
  <si>
    <t>EMP016</t>
  </si>
  <si>
    <t>Manya Rajan</t>
  </si>
  <si>
    <t>Housekeeper</t>
  </si>
  <si>
    <t>EMP017</t>
  </si>
  <si>
    <t>Kiaan Parikh</t>
  </si>
  <si>
    <t>EMP018</t>
  </si>
  <si>
    <t>Girindra Parmar</t>
  </si>
  <si>
    <t>Room Service</t>
  </si>
  <si>
    <t>Room Service Executive</t>
  </si>
  <si>
    <t>EMP019</t>
  </si>
  <si>
    <t>Omaja Kar</t>
  </si>
  <si>
    <t>EMP020</t>
  </si>
  <si>
    <t>Tanvi Sem</t>
  </si>
  <si>
    <t>EMP091</t>
  </si>
  <si>
    <t>Vasudha Contractor</t>
  </si>
  <si>
    <t>Chef</t>
  </si>
  <si>
    <t>EMP022</t>
  </si>
  <si>
    <t>Falak Varty</t>
  </si>
  <si>
    <t>EMP023</t>
  </si>
  <si>
    <t>Panini Gopal</t>
  </si>
  <si>
    <t>EMP024</t>
  </si>
  <si>
    <t>Kalpit Suresh</t>
  </si>
  <si>
    <t>EMP025</t>
  </si>
  <si>
    <t>Rohan Kala</t>
  </si>
  <si>
    <t>EMP026</t>
  </si>
  <si>
    <t>Omisha Mane</t>
  </si>
  <si>
    <t>EMP027</t>
  </si>
  <si>
    <t>Pushti Bath</t>
  </si>
  <si>
    <t>EMP028</t>
  </si>
  <si>
    <t>Aarav Mangat</t>
  </si>
  <si>
    <t>EMP029</t>
  </si>
  <si>
    <t>Kai Hari</t>
  </si>
  <si>
    <t>Management</t>
  </si>
  <si>
    <t>Manager</t>
  </si>
  <si>
    <t>EMP030</t>
  </si>
  <si>
    <t>Sanya Dube</t>
  </si>
  <si>
    <t>EMP031</t>
  </si>
  <si>
    <t>Kalpit Mody</t>
  </si>
  <si>
    <t>Rishi Mane</t>
  </si>
  <si>
    <t>Front Office</t>
  </si>
  <si>
    <t>Front Desk Executive</t>
  </si>
  <si>
    <t>EMP033</t>
  </si>
  <si>
    <t>Yasti Dutta</t>
  </si>
  <si>
    <t>General Manager</t>
  </si>
  <si>
    <t>EMP034</t>
  </si>
  <si>
    <t>Pahal Anne</t>
  </si>
  <si>
    <t>Jhalak Nagy</t>
  </si>
  <si>
    <t>EMP036</t>
  </si>
  <si>
    <t>Xiti Misra</t>
  </si>
  <si>
    <t>EMP037</t>
  </si>
  <si>
    <t>Christopher Din</t>
  </si>
  <si>
    <t>EMP038</t>
  </si>
  <si>
    <t>EMP039</t>
  </si>
  <si>
    <t>Harish Brar</t>
  </si>
  <si>
    <t>EMP040</t>
  </si>
  <si>
    <t>Nitara Dugar</t>
  </si>
  <si>
    <t>EMP041</t>
  </si>
  <si>
    <t>Brinda Badal</t>
  </si>
  <si>
    <t>EMP012</t>
  </si>
  <si>
    <t>Qushi Sarma</t>
  </si>
  <si>
    <t>Cook</t>
  </si>
  <si>
    <t>EMP043</t>
  </si>
  <si>
    <t>Elijah Sharma</t>
  </si>
  <si>
    <t>EMP044</t>
  </si>
  <si>
    <t>Chameli Mital</t>
  </si>
  <si>
    <t>EMP045</t>
  </si>
  <si>
    <t>Isha Zachariah</t>
  </si>
  <si>
    <t>EMP046</t>
  </si>
  <si>
    <t>Vedika Ramachandran</t>
  </si>
  <si>
    <t>EMP047</t>
  </si>
  <si>
    <t>Manan Narang</t>
  </si>
  <si>
    <t>EMP048</t>
  </si>
  <si>
    <t>Vanya Mann</t>
  </si>
  <si>
    <t>Frado Vig</t>
  </si>
  <si>
    <t>EMP050</t>
  </si>
  <si>
    <t>Gauri Amble</t>
  </si>
  <si>
    <t>EMP051</t>
  </si>
  <si>
    <t>EMP052</t>
  </si>
  <si>
    <t>Yug Nadig</t>
  </si>
  <si>
    <t>EMP053</t>
  </si>
  <si>
    <t>Indali Savant</t>
  </si>
  <si>
    <t>EMP054</t>
  </si>
  <si>
    <t>Advay Vora</t>
  </si>
  <si>
    <t>EMP055</t>
  </si>
  <si>
    <t>Lavanya Sarkar</t>
  </si>
  <si>
    <t>EMP056</t>
  </si>
  <si>
    <t>Yagnesh Bawa</t>
  </si>
  <si>
    <t>EMP057</t>
  </si>
  <si>
    <t>Mohammed Raja</t>
  </si>
  <si>
    <t>Accountant</t>
  </si>
  <si>
    <t>EMP021</t>
  </si>
  <si>
    <t>Amaira Chaudhuri</t>
  </si>
  <si>
    <t>EMP059</t>
  </si>
  <si>
    <t>Priya Sarkar</t>
  </si>
  <si>
    <t>Tanish Narula</t>
  </si>
  <si>
    <t>EMP061</t>
  </si>
  <si>
    <t>Anamika Wadhwa</t>
  </si>
  <si>
    <t>EMP062</t>
  </si>
  <si>
    <t>Aarnav Sarna</t>
  </si>
  <si>
    <t>EMP063</t>
  </si>
  <si>
    <t>Qushi Thaman</t>
  </si>
  <si>
    <t>EMP064</t>
  </si>
  <si>
    <t>Rishi Setty</t>
  </si>
  <si>
    <t>EMP065</t>
  </si>
  <si>
    <t>Imaran Kashyap</t>
  </si>
  <si>
    <t>EMP066</t>
  </si>
  <si>
    <t>Zayyan Saha</t>
  </si>
  <si>
    <t>EMP067</t>
  </si>
  <si>
    <t>Charles Som</t>
  </si>
  <si>
    <t>EMP068</t>
  </si>
  <si>
    <t>Janaki Taneja</t>
  </si>
  <si>
    <t>EMP069</t>
  </si>
  <si>
    <t>Ojasvi Mani</t>
  </si>
  <si>
    <t>EMP070</t>
  </si>
  <si>
    <t>Kamya Shenoy</t>
  </si>
  <si>
    <t>EMP071</t>
  </si>
  <si>
    <t>Ethan Chacko</t>
  </si>
  <si>
    <t>EMP072</t>
  </si>
  <si>
    <t>Charan Pingle</t>
  </si>
  <si>
    <t>EMP073</t>
  </si>
  <si>
    <t>Odika Som</t>
  </si>
  <si>
    <t>EMP074</t>
  </si>
  <si>
    <t>Isha Pandit</t>
  </si>
  <si>
    <t>EMP075</t>
  </si>
  <si>
    <t>Netra Natarajan</t>
  </si>
  <si>
    <t>Qasim Sachdeva</t>
  </si>
  <si>
    <t>Receptionist</t>
  </si>
  <si>
    <t>EMP077</t>
  </si>
  <si>
    <t>Dev Gera</t>
  </si>
  <si>
    <t>EMP078</t>
  </si>
  <si>
    <t>Wakeeta Raval</t>
  </si>
  <si>
    <t>EMP079</t>
  </si>
  <si>
    <t>Harish Bora</t>
  </si>
  <si>
    <t>EMP080</t>
  </si>
  <si>
    <t>Yash Som</t>
  </si>
  <si>
    <t>EMP081</t>
  </si>
  <si>
    <t>Girish Madan</t>
  </si>
  <si>
    <t>EMP082</t>
  </si>
  <si>
    <t>Yatan Patla</t>
  </si>
  <si>
    <t>EMP083</t>
  </si>
  <si>
    <t>Waida Dhaliwal</t>
  </si>
  <si>
    <t>EMP084</t>
  </si>
  <si>
    <t>Charan Comar</t>
  </si>
  <si>
    <t>EMP085</t>
  </si>
  <si>
    <t>Adya Mammen</t>
  </si>
  <si>
    <t>EMP086</t>
  </si>
  <si>
    <t>David Golla</t>
  </si>
  <si>
    <t>Kalpit Vyas</t>
  </si>
  <si>
    <t>EMP088</t>
  </si>
  <si>
    <t>Chanchal Jaggi</t>
  </si>
  <si>
    <t>EMP089</t>
  </si>
  <si>
    <t>Wakeeta Deshpande</t>
  </si>
  <si>
    <t>EMP090</t>
  </si>
  <si>
    <t>Faris Sathe</t>
  </si>
  <si>
    <t>EMP093</t>
  </si>
  <si>
    <t>Theodore Gopal</t>
  </si>
  <si>
    <t>EMP092</t>
  </si>
  <si>
    <t>Yuvraj Chopra</t>
  </si>
  <si>
    <t>EMP042</t>
  </si>
  <si>
    <t>Nicholas Chandra</t>
  </si>
  <si>
    <t>EMP094</t>
  </si>
  <si>
    <t>Lohit Vohra</t>
  </si>
  <si>
    <t>Amrita Dube</t>
  </si>
  <si>
    <t>EMP096</t>
  </si>
  <si>
    <t>Aayush Gill</t>
  </si>
  <si>
    <t>EMP097</t>
  </si>
  <si>
    <t>Samaksh Aurora</t>
  </si>
  <si>
    <t>EMP098</t>
  </si>
  <si>
    <t>Gavin Khosla</t>
  </si>
  <si>
    <t>EMP099</t>
  </si>
  <si>
    <t>Utkarsh Madan</t>
  </si>
  <si>
    <t>EMP100</t>
  </si>
  <si>
    <t>Wazir Narayanan</t>
  </si>
  <si>
    <t>EMP101</t>
  </si>
  <si>
    <t>Ganga Jaggi</t>
  </si>
  <si>
    <t>EMP102</t>
  </si>
  <si>
    <t>Kala Das</t>
  </si>
  <si>
    <t>EMP103</t>
  </si>
  <si>
    <t>Widisha Tank</t>
  </si>
  <si>
    <t>EMP104</t>
  </si>
  <si>
    <t>Triya Halder</t>
  </si>
  <si>
    <t>EMP105</t>
  </si>
  <si>
    <t>Girindra Golla</t>
  </si>
  <si>
    <t>EMP106</t>
  </si>
  <si>
    <t>Vedant Mital</t>
  </si>
  <si>
    <t>EMP107</t>
  </si>
  <si>
    <t>Vasatika Kalla</t>
  </si>
  <si>
    <t>EMP108</t>
  </si>
  <si>
    <t>Eshana Gola</t>
  </si>
  <si>
    <t>EMP109</t>
  </si>
  <si>
    <t>Xavier Varkey</t>
  </si>
  <si>
    <t>EMP110</t>
  </si>
  <si>
    <t>Xiti Sant</t>
  </si>
  <si>
    <t>EMP111</t>
  </si>
  <si>
    <t>Mahika Anand</t>
  </si>
  <si>
    <t>EMP112</t>
  </si>
  <si>
    <t>Chakradhar Prasad</t>
  </si>
  <si>
    <t>EMP113</t>
  </si>
  <si>
    <t>Nihal Mohanty</t>
  </si>
  <si>
    <t>EMP114</t>
  </si>
  <si>
    <t>Hredhaan Chanda</t>
  </si>
  <si>
    <t>EMP115</t>
  </si>
  <si>
    <t>Chavvi Chana</t>
  </si>
  <si>
    <t>EMP116</t>
  </si>
  <si>
    <t>Yashodhara Bhavsar</t>
  </si>
  <si>
    <t>EMP117</t>
  </si>
  <si>
    <t>Pooja Deol</t>
  </si>
  <si>
    <t>EMP118</t>
  </si>
  <si>
    <t>Kavya Palla</t>
  </si>
  <si>
    <t>EMP119</t>
  </si>
  <si>
    <t>Indira Bedi</t>
  </si>
  <si>
    <t>EMP120</t>
  </si>
  <si>
    <t>Gautam Narayanan</t>
  </si>
  <si>
    <t>EMP121</t>
  </si>
  <si>
    <t>Udant Tata</t>
  </si>
  <si>
    <t>EMP122</t>
  </si>
  <si>
    <t>Jagdish Kota</t>
  </si>
  <si>
    <t>Xalak Sane</t>
  </si>
  <si>
    <t>EMP124</t>
  </si>
  <si>
    <t>Shivani Natt</t>
  </si>
  <si>
    <t>EMP125</t>
  </si>
  <si>
    <t>Nirja Bali</t>
  </si>
  <si>
    <t>EMP126</t>
  </si>
  <si>
    <t>Frederick Patil</t>
  </si>
  <si>
    <t>EMP127</t>
  </si>
  <si>
    <t>Thomas Sangha</t>
  </si>
  <si>
    <t>EMP128</t>
  </si>
  <si>
    <t>Brijesh Trivedi</t>
  </si>
  <si>
    <t>EMP129</t>
  </si>
  <si>
    <t>Advika Lata</t>
  </si>
  <si>
    <t>Devansh Manne</t>
  </si>
  <si>
    <t>EMP131</t>
  </si>
  <si>
    <t>Vanya Kari</t>
  </si>
  <si>
    <t>EMP132</t>
  </si>
  <si>
    <t>Baljiwan Solanki</t>
  </si>
  <si>
    <t>EMP133</t>
  </si>
  <si>
    <t>Dominic Thaman</t>
  </si>
  <si>
    <t>EMP134</t>
  </si>
  <si>
    <t>Banjeet Vyas</t>
  </si>
  <si>
    <t>EMP135</t>
  </si>
  <si>
    <t>Nathaniel Lata</t>
  </si>
  <si>
    <t>EMP136</t>
  </si>
  <si>
    <t>Jeet Ravel</t>
  </si>
  <si>
    <t>EMP137</t>
  </si>
  <si>
    <t>Qasim Dara</t>
  </si>
  <si>
    <t>EMP138</t>
  </si>
  <si>
    <t>Gaurika Virk</t>
  </si>
  <si>
    <t>EMP139</t>
  </si>
  <si>
    <t>Nakul Pandey</t>
  </si>
  <si>
    <t>EMP140</t>
  </si>
  <si>
    <t>Frado Deshpande</t>
  </si>
  <si>
    <t>EMP141</t>
  </si>
  <si>
    <t>Harsh Shenoy</t>
  </si>
  <si>
    <t>EMP142</t>
  </si>
  <si>
    <t>Aarini Lanka</t>
  </si>
  <si>
    <t>Qushi Hayer</t>
  </si>
  <si>
    <t>Vyanjana Gola</t>
  </si>
  <si>
    <t>Payment_ID</t>
  </si>
  <si>
    <t>Payment_Date</t>
  </si>
  <si>
    <t>Payment_Method</t>
  </si>
  <si>
    <t>Transaction_ID</t>
  </si>
  <si>
    <t>P00001</t>
  </si>
  <si>
    <t>UPI</t>
  </si>
  <si>
    <t>TXN461282454</t>
  </si>
  <si>
    <t>P00002</t>
  </si>
  <si>
    <t>Debit Card</t>
  </si>
  <si>
    <t>TXN575688021</t>
  </si>
  <si>
    <t>P00003</t>
  </si>
  <si>
    <t>Cash</t>
  </si>
  <si>
    <t>TXN671762671</t>
  </si>
  <si>
    <t>P00004</t>
  </si>
  <si>
    <t>Net Banking</t>
  </si>
  <si>
    <t>TXN720352763</t>
  </si>
  <si>
    <t>P00005</t>
  </si>
  <si>
    <t>Credit Card</t>
  </si>
  <si>
    <t>TXN801796038</t>
  </si>
  <si>
    <t>P00006</t>
  </si>
  <si>
    <t>TXN325441257</t>
  </si>
  <si>
    <t>P00007</t>
  </si>
  <si>
    <t>TXN493219132</t>
  </si>
  <si>
    <t>P00008</t>
  </si>
  <si>
    <t>TXN578265824</t>
  </si>
  <si>
    <t>P00009</t>
  </si>
  <si>
    <t>TXN261376438</t>
  </si>
  <si>
    <t>P00010</t>
  </si>
  <si>
    <t>TXN193955110</t>
  </si>
  <si>
    <t>P00011</t>
  </si>
  <si>
    <t>TXN128568758</t>
  </si>
  <si>
    <t>P00012</t>
  </si>
  <si>
    <t>TXN924265729</t>
  </si>
  <si>
    <t>P00013</t>
  </si>
  <si>
    <t>TXN734818003</t>
  </si>
  <si>
    <t>P00014</t>
  </si>
  <si>
    <t>TXN160437524</t>
  </si>
  <si>
    <t>P00015</t>
  </si>
  <si>
    <t>TXN782562250</t>
  </si>
  <si>
    <t>P00016</t>
  </si>
  <si>
    <t>TXN248102641</t>
  </si>
  <si>
    <t>P00017</t>
  </si>
  <si>
    <t>TXN313199568</t>
  </si>
  <si>
    <t>P00018</t>
  </si>
  <si>
    <t>TXN914534632</t>
  </si>
  <si>
    <t>P00019</t>
  </si>
  <si>
    <t>TXN260255269</t>
  </si>
  <si>
    <t>P00020</t>
  </si>
  <si>
    <t>TXN618589721</t>
  </si>
  <si>
    <t>P00021</t>
  </si>
  <si>
    <t>TXN235317167</t>
  </si>
  <si>
    <t>P00022</t>
  </si>
  <si>
    <t>TXN497251754</t>
  </si>
  <si>
    <t>P00023</t>
  </si>
  <si>
    <t>TXN856863242</t>
  </si>
  <si>
    <t>P00024</t>
  </si>
  <si>
    <t>TXN823433747</t>
  </si>
  <si>
    <t>P00025</t>
  </si>
  <si>
    <t>TXN770592655</t>
  </si>
  <si>
    <t>P00026</t>
  </si>
  <si>
    <t>TXN777696747</t>
  </si>
  <si>
    <t>P00027</t>
  </si>
  <si>
    <t>TXN769801732</t>
  </si>
  <si>
    <t>P00028</t>
  </si>
  <si>
    <t>TXN829137701</t>
  </si>
  <si>
    <t>P00029</t>
  </si>
  <si>
    <t>TXN716627375</t>
  </si>
  <si>
    <t>P00030</t>
  </si>
  <si>
    <t>TXN626449772</t>
  </si>
  <si>
    <t>P00031</t>
  </si>
  <si>
    <t>TXN172366636</t>
  </si>
  <si>
    <t>P00032</t>
  </si>
  <si>
    <t>TXN263094315</t>
  </si>
  <si>
    <t>P00033</t>
  </si>
  <si>
    <t>TXN426987677</t>
  </si>
  <si>
    <t>P00034</t>
  </si>
  <si>
    <t>TXN175696581</t>
  </si>
  <si>
    <t>P00035</t>
  </si>
  <si>
    <t>TXN637067756</t>
  </si>
  <si>
    <t>P00036</t>
  </si>
  <si>
    <t>TXN113685816</t>
  </si>
  <si>
    <t>P00037</t>
  </si>
  <si>
    <t>TXN662109116</t>
  </si>
  <si>
    <t>P00038</t>
  </si>
  <si>
    <t>TXN457601586</t>
  </si>
  <si>
    <t>P00039</t>
  </si>
  <si>
    <t>TXN926846023</t>
  </si>
  <si>
    <t>P00040</t>
  </si>
  <si>
    <t>TXN215441279</t>
  </si>
  <si>
    <t>P00041</t>
  </si>
  <si>
    <t>TXN181942254</t>
  </si>
  <si>
    <t>P00042</t>
  </si>
  <si>
    <t>TXN468723087</t>
  </si>
  <si>
    <t>P00043</t>
  </si>
  <si>
    <t>TXN246230401</t>
  </si>
  <si>
    <t>P00044</t>
  </si>
  <si>
    <t>TXN782660810</t>
  </si>
  <si>
    <t>P00045</t>
  </si>
  <si>
    <t>TXN517041428</t>
  </si>
  <si>
    <t>P00046</t>
  </si>
  <si>
    <t>TXN427508145</t>
  </si>
  <si>
    <t>P00047</t>
  </si>
  <si>
    <t>TXN380345980</t>
  </si>
  <si>
    <t>P00048</t>
  </si>
  <si>
    <t>TXN482759714</t>
  </si>
  <si>
    <t>P00049</t>
  </si>
  <si>
    <t>TXN418027758</t>
  </si>
  <si>
    <t>P00050</t>
  </si>
  <si>
    <t>TXN489426027</t>
  </si>
  <si>
    <t>P00051</t>
  </si>
  <si>
    <t>TXN184673348</t>
  </si>
  <si>
    <t>P00052</t>
  </si>
  <si>
    <t>TXN361589495</t>
  </si>
  <si>
    <t>P00053</t>
  </si>
  <si>
    <t>TXN723758069</t>
  </si>
  <si>
    <t>P00054</t>
  </si>
  <si>
    <t>TXN442976617</t>
  </si>
  <si>
    <t>P00055</t>
  </si>
  <si>
    <t>TXN824944192</t>
  </si>
  <si>
    <t>P00056</t>
  </si>
  <si>
    <t>TXN161525415</t>
  </si>
  <si>
    <t>P00057</t>
  </si>
  <si>
    <t>TXN680082439</t>
  </si>
  <si>
    <t>P00058</t>
  </si>
  <si>
    <t>TXN255407447</t>
  </si>
  <si>
    <t>P00059</t>
  </si>
  <si>
    <t>TXN971790480</t>
  </si>
  <si>
    <t>P00060</t>
  </si>
  <si>
    <t>TXN829026610</t>
  </si>
  <si>
    <t>P00061</t>
  </si>
  <si>
    <t>TXN878821333</t>
  </si>
  <si>
    <t>P00062</t>
  </si>
  <si>
    <t>TXN670146124</t>
  </si>
  <si>
    <t>P00063</t>
  </si>
  <si>
    <t>TXN933401353</t>
  </si>
  <si>
    <t>P00064</t>
  </si>
  <si>
    <t>TXN120068871</t>
  </si>
  <si>
    <t>P00065</t>
  </si>
  <si>
    <t>TXN911538575</t>
  </si>
  <si>
    <t>P00066</t>
  </si>
  <si>
    <t>TXN619555099</t>
  </si>
  <si>
    <t>P00067</t>
  </si>
  <si>
    <t>TXN900168213</t>
  </si>
  <si>
    <t>P00068</t>
  </si>
  <si>
    <t>TXN606074940</t>
  </si>
  <si>
    <t>P00069</t>
  </si>
  <si>
    <t>TXN152685867</t>
  </si>
  <si>
    <t>P00070</t>
  </si>
  <si>
    <t>TXN827284615</t>
  </si>
  <si>
    <t>P00071</t>
  </si>
  <si>
    <t>TXN905585370</t>
  </si>
  <si>
    <t>P00072</t>
  </si>
  <si>
    <t>TXN205062927</t>
  </si>
  <si>
    <t>P00073</t>
  </si>
  <si>
    <t>TXN649675597</t>
  </si>
  <si>
    <t>P00074</t>
  </si>
  <si>
    <t>TXN661196923</t>
  </si>
  <si>
    <t>P00075</t>
  </si>
  <si>
    <t>TXN946964660</t>
  </si>
  <si>
    <t>P00076</t>
  </si>
  <si>
    <t>TXN470484268</t>
  </si>
  <si>
    <t>P00077</t>
  </si>
  <si>
    <t>TXN909788544</t>
  </si>
  <si>
    <t>P00078</t>
  </si>
  <si>
    <t>TXN132907210</t>
  </si>
  <si>
    <t>P00079</t>
  </si>
  <si>
    <t>TXN935140108</t>
  </si>
  <si>
    <t>P00080</t>
  </si>
  <si>
    <t>TXN207629774</t>
  </si>
  <si>
    <t>P00081</t>
  </si>
  <si>
    <t>TXN547640859</t>
  </si>
  <si>
    <t>P00082</t>
  </si>
  <si>
    <t>TXN472235014</t>
  </si>
  <si>
    <t>P00083</t>
  </si>
  <si>
    <t>TXN426680845</t>
  </si>
  <si>
    <t>P00084</t>
  </si>
  <si>
    <t>TXN294708931</t>
  </si>
  <si>
    <t>P00085</t>
  </si>
  <si>
    <t>TXN768048005</t>
  </si>
  <si>
    <t>P00086</t>
  </si>
  <si>
    <t>TXN936693741</t>
  </si>
  <si>
    <t>P00087</t>
  </si>
  <si>
    <t>TXN551546369</t>
  </si>
  <si>
    <t>P00088</t>
  </si>
  <si>
    <t>TXN731656281</t>
  </si>
  <si>
    <t>P00089</t>
  </si>
  <si>
    <t>TXN862547219</t>
  </si>
  <si>
    <t>P00090</t>
  </si>
  <si>
    <t>TXN357217964</t>
  </si>
  <si>
    <t>P00091</t>
  </si>
  <si>
    <t>TXN102069808</t>
  </si>
  <si>
    <t>P00092</t>
  </si>
  <si>
    <t>TXN954852419</t>
  </si>
  <si>
    <t>P00093</t>
  </si>
  <si>
    <t>TXN850390379</t>
  </si>
  <si>
    <t>P00094</t>
  </si>
  <si>
    <t>TXN650395672</t>
  </si>
  <si>
    <t>P00095</t>
  </si>
  <si>
    <t>TXN349439365</t>
  </si>
  <si>
    <t>P00096</t>
  </si>
  <si>
    <t>TXN360776077</t>
  </si>
  <si>
    <t>P00097</t>
  </si>
  <si>
    <t>TXN551632016</t>
  </si>
  <si>
    <t>P00098</t>
  </si>
  <si>
    <t>TXN652891465</t>
  </si>
  <si>
    <t>P00099</t>
  </si>
  <si>
    <t>TXN993279151</t>
  </si>
  <si>
    <t>P00100</t>
  </si>
  <si>
    <t>TXN553735809</t>
  </si>
  <si>
    <t>P00101</t>
  </si>
  <si>
    <t>TXN147654859</t>
  </si>
  <si>
    <t>P00102</t>
  </si>
  <si>
    <t>TXN511041307</t>
  </si>
  <si>
    <t>P00103</t>
  </si>
  <si>
    <t>TXN230824448</t>
  </si>
  <si>
    <t>P00104</t>
  </si>
  <si>
    <t>TXN683687787</t>
  </si>
  <si>
    <t>P00105</t>
  </si>
  <si>
    <t>TXN458610687</t>
  </si>
  <si>
    <t>P00106</t>
  </si>
  <si>
    <t>TXN284563829</t>
  </si>
  <si>
    <t>P00107</t>
  </si>
  <si>
    <t>TXN804283876</t>
  </si>
  <si>
    <t>P00108</t>
  </si>
  <si>
    <t>TXN112697283</t>
  </si>
  <si>
    <t>P00109</t>
  </si>
  <si>
    <t>TXN193236980</t>
  </si>
  <si>
    <t>P00110</t>
  </si>
  <si>
    <t>TXN108557579</t>
  </si>
  <si>
    <t>P00111</t>
  </si>
  <si>
    <t>TXN310031321</t>
  </si>
  <si>
    <t>P00112</t>
  </si>
  <si>
    <t>TXN245375928</t>
  </si>
  <si>
    <t>P00113</t>
  </si>
  <si>
    <t>TXN446112873</t>
  </si>
  <si>
    <t>P00114</t>
  </si>
  <si>
    <t>TXN433085656</t>
  </si>
  <si>
    <t>P00115</t>
  </si>
  <si>
    <t>TXN497680665</t>
  </si>
  <si>
    <t>P00116</t>
  </si>
  <si>
    <t>TXN492775205</t>
  </si>
  <si>
    <t>P00117</t>
  </si>
  <si>
    <t>TXN628911023</t>
  </si>
  <si>
    <t>P00118</t>
  </si>
  <si>
    <t>TXN663786262</t>
  </si>
  <si>
    <t>P00119</t>
  </si>
  <si>
    <t>TXN587538765</t>
  </si>
  <si>
    <t>P00120</t>
  </si>
  <si>
    <t>TXN369659320</t>
  </si>
  <si>
    <t>P00121</t>
  </si>
  <si>
    <t>TXN404953403</t>
  </si>
  <si>
    <t>P00122</t>
  </si>
  <si>
    <t>TXN612313472</t>
  </si>
  <si>
    <t>P00123</t>
  </si>
  <si>
    <t>TXN373043213</t>
  </si>
  <si>
    <t>P00124</t>
  </si>
  <si>
    <t>TXN243041728</t>
  </si>
  <si>
    <t>P00125</t>
  </si>
  <si>
    <t>TXN676716568</t>
  </si>
  <si>
    <t>P00126</t>
  </si>
  <si>
    <t>TXN539330843</t>
  </si>
  <si>
    <t>P00127</t>
  </si>
  <si>
    <t>TXN910706631</t>
  </si>
  <si>
    <t>P00128</t>
  </si>
  <si>
    <t>TXN797166799</t>
  </si>
  <si>
    <t>P00129</t>
  </si>
  <si>
    <t>TXN926126621</t>
  </si>
  <si>
    <t>P00130</t>
  </si>
  <si>
    <t>TXN124492126</t>
  </si>
  <si>
    <t>P00131</t>
  </si>
  <si>
    <t>TXN756689522</t>
  </si>
  <si>
    <t>P00132</t>
  </si>
  <si>
    <t>TXN956136591</t>
  </si>
  <si>
    <t>P00133</t>
  </si>
  <si>
    <t>TXN727415679</t>
  </si>
  <si>
    <t>P00134</t>
  </si>
  <si>
    <t>TXN767171272</t>
  </si>
  <si>
    <t>P00135</t>
  </si>
  <si>
    <t>TXN960510894</t>
  </si>
  <si>
    <t>P00136</t>
  </si>
  <si>
    <t>TXN932189236</t>
  </si>
  <si>
    <t>P00137</t>
  </si>
  <si>
    <t>TXN261611501</t>
  </si>
  <si>
    <t>P00138</t>
  </si>
  <si>
    <t>TXN858983312</t>
  </si>
  <si>
    <t>P00139</t>
  </si>
  <si>
    <t>TXN833583387</t>
  </si>
  <si>
    <t>P00140</t>
  </si>
  <si>
    <t>TXN374961505</t>
  </si>
  <si>
    <t>P00141</t>
  </si>
  <si>
    <t>TXN191669101</t>
  </si>
  <si>
    <t>P00142</t>
  </si>
  <si>
    <t>TXN969047810</t>
  </si>
  <si>
    <t>P00143</t>
  </si>
  <si>
    <t>TXN609158835</t>
  </si>
  <si>
    <t>P00144</t>
  </si>
  <si>
    <t>TXN128529830</t>
  </si>
  <si>
    <t>P00145</t>
  </si>
  <si>
    <t>TXN729787713</t>
  </si>
  <si>
    <t>P00146</t>
  </si>
  <si>
    <t>TXN168459989</t>
  </si>
  <si>
    <t>P00147</t>
  </si>
  <si>
    <t>TXN740680434</t>
  </si>
  <si>
    <t>P00148</t>
  </si>
  <si>
    <t>TXN930537484</t>
  </si>
  <si>
    <t>P00149</t>
  </si>
  <si>
    <t>TXN268283347</t>
  </si>
  <si>
    <t>P00150</t>
  </si>
  <si>
    <t>TXN450602721</t>
  </si>
  <si>
    <t>P00151</t>
  </si>
  <si>
    <t>TXN334481795</t>
  </si>
  <si>
    <t>P00152</t>
  </si>
  <si>
    <t>TXN243020308</t>
  </si>
  <si>
    <t>P00153</t>
  </si>
  <si>
    <t>TXN260717211</t>
  </si>
  <si>
    <t>P00154</t>
  </si>
  <si>
    <t>TXN115898241</t>
  </si>
  <si>
    <t>P00155</t>
  </si>
  <si>
    <t>TXN727925883</t>
  </si>
  <si>
    <t>P00156</t>
  </si>
  <si>
    <t>TXN470145124</t>
  </si>
  <si>
    <t>P00157</t>
  </si>
  <si>
    <t>TXN951037664</t>
  </si>
  <si>
    <t>P00158</t>
  </si>
  <si>
    <t>TXN170891371</t>
  </si>
  <si>
    <t>P00159</t>
  </si>
  <si>
    <t>TXN742848846</t>
  </si>
  <si>
    <t>P00160</t>
  </si>
  <si>
    <t>TXN169891670</t>
  </si>
  <si>
    <t>P00161</t>
  </si>
  <si>
    <t>TXN967329546</t>
  </si>
  <si>
    <t>P00162</t>
  </si>
  <si>
    <t>TXN631468506</t>
  </si>
  <si>
    <t>P00163</t>
  </si>
  <si>
    <t>TXN627484190</t>
  </si>
  <si>
    <t>P00164</t>
  </si>
  <si>
    <t>TXN414508151</t>
  </si>
  <si>
    <t>P00165</t>
  </si>
  <si>
    <t>TXN853784334</t>
  </si>
  <si>
    <t>P00166</t>
  </si>
  <si>
    <t>TXN195386935</t>
  </si>
  <si>
    <t>P00167</t>
  </si>
  <si>
    <t>TXN486515609</t>
  </si>
  <si>
    <t>P00168</t>
  </si>
  <si>
    <t>TXN305330392</t>
  </si>
  <si>
    <t>P00169</t>
  </si>
  <si>
    <t>TXN837067176</t>
  </si>
  <si>
    <t>P00170</t>
  </si>
  <si>
    <t>TXN651284156</t>
  </si>
  <si>
    <t>P00171</t>
  </si>
  <si>
    <t>TXN576288852</t>
  </si>
  <si>
    <t>P00172</t>
  </si>
  <si>
    <t>TXN698751026</t>
  </si>
  <si>
    <t>P00173</t>
  </si>
  <si>
    <t>TXN405585307</t>
  </si>
  <si>
    <t>P00174</t>
  </si>
  <si>
    <t>TXN647002776</t>
  </si>
  <si>
    <t>P00175</t>
  </si>
  <si>
    <t>TXN250902764</t>
  </si>
  <si>
    <t>P00176</t>
  </si>
  <si>
    <t>TXN906489515</t>
  </si>
  <si>
    <t>P00177</t>
  </si>
  <si>
    <t>TXN903906452</t>
  </si>
  <si>
    <t>P00178</t>
  </si>
  <si>
    <t>TXN384368457</t>
  </si>
  <si>
    <t>P00179</t>
  </si>
  <si>
    <t>TXN561547269</t>
  </si>
  <si>
    <t>P00180</t>
  </si>
  <si>
    <t>TXN185868127</t>
  </si>
  <si>
    <t>P00181</t>
  </si>
  <si>
    <t>TXN605661369</t>
  </si>
  <si>
    <t>P00182</t>
  </si>
  <si>
    <t>TXN411952399</t>
  </si>
  <si>
    <t>P00183</t>
  </si>
  <si>
    <t>TXN875946225</t>
  </si>
  <si>
    <t>P00184</t>
  </si>
  <si>
    <t>TXN230153082</t>
  </si>
  <si>
    <t>P00185</t>
  </si>
  <si>
    <t>TXN966878883</t>
  </si>
  <si>
    <t>P00186</t>
  </si>
  <si>
    <t>TXN765040023</t>
  </si>
  <si>
    <t>P00187</t>
  </si>
  <si>
    <t>TXN402046653</t>
  </si>
  <si>
    <t>P00188</t>
  </si>
  <si>
    <t>TXN769805867</t>
  </si>
  <si>
    <t>P00189</t>
  </si>
  <si>
    <t>TXN801014023</t>
  </si>
  <si>
    <t>P00190</t>
  </si>
  <si>
    <t>TXN219993951</t>
  </si>
  <si>
    <t>P00191</t>
  </si>
  <si>
    <t>TXN372103128</t>
  </si>
  <si>
    <t>P00192</t>
  </si>
  <si>
    <t>TXN874539386</t>
  </si>
  <si>
    <t>P00193</t>
  </si>
  <si>
    <t>TXN715550687</t>
  </si>
  <si>
    <t>P00194</t>
  </si>
  <si>
    <t>TXN142272985</t>
  </si>
  <si>
    <t>P00195</t>
  </si>
  <si>
    <t>TXN609435513</t>
  </si>
  <si>
    <t>P00196</t>
  </si>
  <si>
    <t>TXN962079302</t>
  </si>
  <si>
    <t>P00197</t>
  </si>
  <si>
    <t>TXN276134392</t>
  </si>
  <si>
    <t>P00198</t>
  </si>
  <si>
    <t>TXN730789915</t>
  </si>
  <si>
    <t>P00199</t>
  </si>
  <si>
    <t>TXN796661138</t>
  </si>
  <si>
    <t>P00200</t>
  </si>
  <si>
    <t>TXN295716398</t>
  </si>
  <si>
    <t>P00201</t>
  </si>
  <si>
    <t>TXN375163998</t>
  </si>
  <si>
    <t>P00202</t>
  </si>
  <si>
    <t>TXN977145484</t>
  </si>
  <si>
    <t>P00203</t>
  </si>
  <si>
    <t>TXN530625970</t>
  </si>
  <si>
    <t>P00204</t>
  </si>
  <si>
    <t>TXN975349091</t>
  </si>
  <si>
    <t>P00205</t>
  </si>
  <si>
    <t>TXN355393269</t>
  </si>
  <si>
    <t>P00206</t>
  </si>
  <si>
    <t>TXN173696901</t>
  </si>
  <si>
    <t>P00207</t>
  </si>
  <si>
    <t>TXN995197492</t>
  </si>
  <si>
    <t>P00208</t>
  </si>
  <si>
    <t>TXN744644972</t>
  </si>
  <si>
    <t>P00209</t>
  </si>
  <si>
    <t>TXN679866102</t>
  </si>
  <si>
    <t>P00210</t>
  </si>
  <si>
    <t>TXN754208843</t>
  </si>
  <si>
    <t>P00211</t>
  </si>
  <si>
    <t>TXN739777658</t>
  </si>
  <si>
    <t>P00212</t>
  </si>
  <si>
    <t>TXN280386552</t>
  </si>
  <si>
    <t>P00213</t>
  </si>
  <si>
    <t>TXN269333744</t>
  </si>
  <si>
    <t>P00214</t>
  </si>
  <si>
    <t>TXN931053565</t>
  </si>
  <si>
    <t>P00215</t>
  </si>
  <si>
    <t>TXN785774537</t>
  </si>
  <si>
    <t>P00216</t>
  </si>
  <si>
    <t>TXN113873485</t>
  </si>
  <si>
    <t>P00217</t>
  </si>
  <si>
    <t>TXN699666634</t>
  </si>
  <si>
    <t>P00218</t>
  </si>
  <si>
    <t>TXN532360887</t>
  </si>
  <si>
    <t>P00219</t>
  </si>
  <si>
    <t>TXN597285134</t>
  </si>
  <si>
    <t>P00220</t>
  </si>
  <si>
    <t>TXN308590709</t>
  </si>
  <si>
    <t>P00221</t>
  </si>
  <si>
    <t>TXN204726494</t>
  </si>
  <si>
    <t>P00222</t>
  </si>
  <si>
    <t>TXN499687864</t>
  </si>
  <si>
    <t>P00223</t>
  </si>
  <si>
    <t>TXN579545403</t>
  </si>
  <si>
    <t>P00224</t>
  </si>
  <si>
    <t>TXN145184237</t>
  </si>
  <si>
    <t>P00225</t>
  </si>
  <si>
    <t>TXN679591906</t>
  </si>
  <si>
    <t>P00226</t>
  </si>
  <si>
    <t>TXN831035543</t>
  </si>
  <si>
    <t>P00227</t>
  </si>
  <si>
    <t>TXN829330851</t>
  </si>
  <si>
    <t>P00228</t>
  </si>
  <si>
    <t>TXN250099244</t>
  </si>
  <si>
    <t>P00229</t>
  </si>
  <si>
    <t>TXN401209652</t>
  </si>
  <si>
    <t>P00230</t>
  </si>
  <si>
    <t>TXN313675667</t>
  </si>
  <si>
    <t>P00231</t>
  </si>
  <si>
    <t>TXN193274815</t>
  </si>
  <si>
    <t>P00232</t>
  </si>
  <si>
    <t>TXN681035878</t>
  </si>
  <si>
    <t>P00233</t>
  </si>
  <si>
    <t>TXN493048519</t>
  </si>
  <si>
    <t>P00234</t>
  </si>
  <si>
    <t>TXN655223277</t>
  </si>
  <si>
    <t>P00235</t>
  </si>
  <si>
    <t>TXN654078853</t>
  </si>
  <si>
    <t>P00236</t>
  </si>
  <si>
    <t>TXN510491579</t>
  </si>
  <si>
    <t>P00237</t>
  </si>
  <si>
    <t>TXN435149818</t>
  </si>
  <si>
    <t>P00238</t>
  </si>
  <si>
    <t>TXN516597336</t>
  </si>
  <si>
    <t>P00239</t>
  </si>
  <si>
    <t>TXN703617445</t>
  </si>
  <si>
    <t>P00240</t>
  </si>
  <si>
    <t>TXN765296321</t>
  </si>
  <si>
    <t>P00241</t>
  </si>
  <si>
    <t>TXN901944917</t>
  </si>
  <si>
    <t>P00242</t>
  </si>
  <si>
    <t>TXN229951287</t>
  </si>
  <si>
    <t>P00243</t>
  </si>
  <si>
    <t>TXN886077663</t>
  </si>
  <si>
    <t>P00244</t>
  </si>
  <si>
    <t>TXN399420059</t>
  </si>
  <si>
    <t>P00245</t>
  </si>
  <si>
    <t>TXN332339461</t>
  </si>
  <si>
    <t>P00246</t>
  </si>
  <si>
    <t>TXN332443744</t>
  </si>
  <si>
    <t>P00247</t>
  </si>
  <si>
    <t>TXN902114447</t>
  </si>
  <si>
    <t>P00248</t>
  </si>
  <si>
    <t>TXN952704868</t>
  </si>
  <si>
    <t>P00249</t>
  </si>
  <si>
    <t>TXN388011672</t>
  </si>
  <si>
    <t>P00250</t>
  </si>
  <si>
    <t>TXN859789503</t>
  </si>
  <si>
    <t>P00251</t>
  </si>
  <si>
    <t>TXN654643295</t>
  </si>
  <si>
    <t>P00252</t>
  </si>
  <si>
    <t>TXN811967965</t>
  </si>
  <si>
    <t>P00253</t>
  </si>
  <si>
    <t>TXN750191695</t>
  </si>
  <si>
    <t>P00254</t>
  </si>
  <si>
    <t>TXN539612135</t>
  </si>
  <si>
    <t>P00255</t>
  </si>
  <si>
    <t>TXN637514481</t>
  </si>
  <si>
    <t>P00256</t>
  </si>
  <si>
    <t>TXN555624918</t>
  </si>
  <si>
    <t>P00257</t>
  </si>
  <si>
    <t>TXN637302281</t>
  </si>
  <si>
    <t>P00258</t>
  </si>
  <si>
    <t>TXN785729405</t>
  </si>
  <si>
    <t>P00259</t>
  </si>
  <si>
    <t>TXN560893303</t>
  </si>
  <si>
    <t>P00260</t>
  </si>
  <si>
    <t>TXN986878754</t>
  </si>
  <si>
    <t>P00261</t>
  </si>
  <si>
    <t>TXN217292815</t>
  </si>
  <si>
    <t>P00262</t>
  </si>
  <si>
    <t>TXN606424099</t>
  </si>
  <si>
    <t>P00263</t>
  </si>
  <si>
    <t>TXN874744094</t>
  </si>
  <si>
    <t>P00264</t>
  </si>
  <si>
    <t>TXN455788750</t>
  </si>
  <si>
    <t>P00265</t>
  </si>
  <si>
    <t>TXN862328441</t>
  </si>
  <si>
    <t>P00266</t>
  </si>
  <si>
    <t>TXN119544475</t>
  </si>
  <si>
    <t>P00267</t>
  </si>
  <si>
    <t>TXN126437022</t>
  </si>
  <si>
    <t>P00268</t>
  </si>
  <si>
    <t>TXN491574511</t>
  </si>
  <si>
    <t>P00269</t>
  </si>
  <si>
    <t>TXN590304394</t>
  </si>
  <si>
    <t>P00270</t>
  </si>
  <si>
    <t>TXN264644243</t>
  </si>
  <si>
    <t>P00271</t>
  </si>
  <si>
    <t>TXN636370716</t>
  </si>
  <si>
    <t>P00272</t>
  </si>
  <si>
    <t>TXN790036069</t>
  </si>
  <si>
    <t>P00273</t>
  </si>
  <si>
    <t>TXN744195219</t>
  </si>
  <si>
    <t>P00274</t>
  </si>
  <si>
    <t>TXN187457012</t>
  </si>
  <si>
    <t>P00275</t>
  </si>
  <si>
    <t>TXN100736652</t>
  </si>
  <si>
    <t>P00276</t>
  </si>
  <si>
    <t>TXN918578235</t>
  </si>
  <si>
    <t>P00277</t>
  </si>
  <si>
    <t>TXN924409250</t>
  </si>
  <si>
    <t>P00278</t>
  </si>
  <si>
    <t>TXN809788079</t>
  </si>
  <si>
    <t>P00279</t>
  </si>
  <si>
    <t>TXN771809234</t>
  </si>
  <si>
    <t>P00280</t>
  </si>
  <si>
    <t>TXN233617651</t>
  </si>
  <si>
    <t>P00281</t>
  </si>
  <si>
    <t>TXN889265752</t>
  </si>
  <si>
    <t>P00282</t>
  </si>
  <si>
    <t>TXN353103395</t>
  </si>
  <si>
    <t>P00283</t>
  </si>
  <si>
    <t>TXN295180953</t>
  </si>
  <si>
    <t>P00284</t>
  </si>
  <si>
    <t>TXN634383384</t>
  </si>
  <si>
    <t>P00285</t>
  </si>
  <si>
    <t>TXN145139022</t>
  </si>
  <si>
    <t>P00286</t>
  </si>
  <si>
    <t>TXN868188679</t>
  </si>
  <si>
    <t>P00287</t>
  </si>
  <si>
    <t>TXN732853492</t>
  </si>
  <si>
    <t>P00288</t>
  </si>
  <si>
    <t>TXN399971748</t>
  </si>
  <si>
    <t>P00289</t>
  </si>
  <si>
    <t>TXN865261692</t>
  </si>
  <si>
    <t>P00290</t>
  </si>
  <si>
    <t>TXN607597130</t>
  </si>
  <si>
    <t>P00291</t>
  </si>
  <si>
    <t>TXN662095584</t>
  </si>
  <si>
    <t>P00292</t>
  </si>
  <si>
    <t>TXN642600988</t>
  </si>
  <si>
    <t>P00293</t>
  </si>
  <si>
    <t>TXN908283907</t>
  </si>
  <si>
    <t>P00294</t>
  </si>
  <si>
    <t>TXN733985904</t>
  </si>
  <si>
    <t>P00295</t>
  </si>
  <si>
    <t>TXN266974671</t>
  </si>
  <si>
    <t>P00296</t>
  </si>
  <si>
    <t>TXN298780918</t>
  </si>
  <si>
    <t>P00297</t>
  </si>
  <si>
    <t>TXN544674674</t>
  </si>
  <si>
    <t>P00298</t>
  </si>
  <si>
    <t>TXN691558054</t>
  </si>
  <si>
    <t>P00299</t>
  </si>
  <si>
    <t>TXN747241597</t>
  </si>
  <si>
    <t>P00300</t>
  </si>
  <si>
    <t>TXN981016969</t>
  </si>
  <si>
    <t>P00301</t>
  </si>
  <si>
    <t>TXN486590194</t>
  </si>
  <si>
    <t>P00302</t>
  </si>
  <si>
    <t>TXN348119622</t>
  </si>
  <si>
    <t>P00303</t>
  </si>
  <si>
    <t>TXN891429101</t>
  </si>
  <si>
    <t>P00304</t>
  </si>
  <si>
    <t>TXN932357916</t>
  </si>
  <si>
    <t>P00305</t>
  </si>
  <si>
    <t>TXN773281833</t>
  </si>
  <si>
    <t>P00306</t>
  </si>
  <si>
    <t>TXN946498942</t>
  </si>
  <si>
    <t>P00307</t>
  </si>
  <si>
    <t>TXN256276913</t>
  </si>
  <si>
    <t>P00308</t>
  </si>
  <si>
    <t>TXN170565069</t>
  </si>
  <si>
    <t>P00309</t>
  </si>
  <si>
    <t>TXN833087655</t>
  </si>
  <si>
    <t>P00310</t>
  </si>
  <si>
    <t>TXN931645028</t>
  </si>
  <si>
    <t>P00311</t>
  </si>
  <si>
    <t>TXN946005309</t>
  </si>
  <si>
    <t>P00312</t>
  </si>
  <si>
    <t>TXN324266724</t>
  </si>
  <si>
    <t>P00313</t>
  </si>
  <si>
    <t>TXN715117770</t>
  </si>
  <si>
    <t>P00314</t>
  </si>
  <si>
    <t>TXN831745491</t>
  </si>
  <si>
    <t>P00315</t>
  </si>
  <si>
    <t>TXN499229054</t>
  </si>
  <si>
    <t>P00316</t>
  </si>
  <si>
    <t>TXN812158533</t>
  </si>
  <si>
    <t>P00317</t>
  </si>
  <si>
    <t>TXN110702508</t>
  </si>
  <si>
    <t>P00318</t>
  </si>
  <si>
    <t>TXN566960260</t>
  </si>
  <si>
    <t>P00319</t>
  </si>
  <si>
    <t>TXN494068283</t>
  </si>
  <si>
    <t>P00320</t>
  </si>
  <si>
    <t>TXN495156569</t>
  </si>
  <si>
    <t>P00321</t>
  </si>
  <si>
    <t>TXN222061178</t>
  </si>
  <si>
    <t>P00322</t>
  </si>
  <si>
    <t>TXN520038409</t>
  </si>
  <si>
    <t>P00323</t>
  </si>
  <si>
    <t>TXN813451844</t>
  </si>
  <si>
    <t>P00324</t>
  </si>
  <si>
    <t>TXN401315246</t>
  </si>
  <si>
    <t>P00325</t>
  </si>
  <si>
    <t>TXN186485929</t>
  </si>
  <si>
    <t>P00326</t>
  </si>
  <si>
    <t>TXN210290848</t>
  </si>
  <si>
    <t>P00327</t>
  </si>
  <si>
    <t>TXN975966920</t>
  </si>
  <si>
    <t>P00328</t>
  </si>
  <si>
    <t>TXN873328101</t>
  </si>
  <si>
    <t>P00329</t>
  </si>
  <si>
    <t>TXN472867479</t>
  </si>
  <si>
    <t>P00330</t>
  </si>
  <si>
    <t>TXN757224214</t>
  </si>
  <si>
    <t>P00331</t>
  </si>
  <si>
    <t>TXN710036273</t>
  </si>
  <si>
    <t>P00332</t>
  </si>
  <si>
    <t>TXN192409982</t>
  </si>
  <si>
    <t>P00333</t>
  </si>
  <si>
    <t>TXN594867019</t>
  </si>
  <si>
    <t>P00334</t>
  </si>
  <si>
    <t>TXN365895828</t>
  </si>
  <si>
    <t>P00335</t>
  </si>
  <si>
    <t>TXN829175074</t>
  </si>
  <si>
    <t>P00336</t>
  </si>
  <si>
    <t>TXN891146431</t>
  </si>
  <si>
    <t>P00337</t>
  </si>
  <si>
    <t>TXN230669867</t>
  </si>
  <si>
    <t>P00338</t>
  </si>
  <si>
    <t>TXN667703699</t>
  </si>
  <si>
    <t>P00339</t>
  </si>
  <si>
    <t>TXN909920168</t>
  </si>
  <si>
    <t>P00340</t>
  </si>
  <si>
    <t>TXN251671996</t>
  </si>
  <si>
    <t>P00341</t>
  </si>
  <si>
    <t>TXN341850901</t>
  </si>
  <si>
    <t>P00342</t>
  </si>
  <si>
    <t>TXN750842704</t>
  </si>
  <si>
    <t>P00343</t>
  </si>
  <si>
    <t>TXN805266153</t>
  </si>
  <si>
    <t>P00344</t>
  </si>
  <si>
    <t>TXN278664384</t>
  </si>
  <si>
    <t>P00345</t>
  </si>
  <si>
    <t>TXN713625322</t>
  </si>
  <si>
    <t>P00346</t>
  </si>
  <si>
    <t>TXN472285609</t>
  </si>
  <si>
    <t>P00347</t>
  </si>
  <si>
    <t>TXN179451086</t>
  </si>
  <si>
    <t>P00348</t>
  </si>
  <si>
    <t>TXN521419005</t>
  </si>
  <si>
    <t>P00349</t>
  </si>
  <si>
    <t>TXN528531631</t>
  </si>
  <si>
    <t>P00350</t>
  </si>
  <si>
    <t>TXN662759446</t>
  </si>
  <si>
    <t>P00351</t>
  </si>
  <si>
    <t>TXN498985555</t>
  </si>
  <si>
    <t>P00352</t>
  </si>
  <si>
    <t>TXN248361284</t>
  </si>
  <si>
    <t>P00353</t>
  </si>
  <si>
    <t>TXN305302408</t>
  </si>
  <si>
    <t>P00354</t>
  </si>
  <si>
    <t>TXN272633768</t>
  </si>
  <si>
    <t>P00355</t>
  </si>
  <si>
    <t>TXN731794704</t>
  </si>
  <si>
    <t>P00356</t>
  </si>
  <si>
    <t>TXN718485486</t>
  </si>
  <si>
    <t>P00357</t>
  </si>
  <si>
    <t>TXN556169075</t>
  </si>
  <si>
    <t>P00358</t>
  </si>
  <si>
    <t>TXN317679238</t>
  </si>
  <si>
    <t>P00359</t>
  </si>
  <si>
    <t>TXN979267220</t>
  </si>
  <si>
    <t>P00360</t>
  </si>
  <si>
    <t>TXN103415911</t>
  </si>
  <si>
    <t>P00361</t>
  </si>
  <si>
    <t>TXN649619591</t>
  </si>
  <si>
    <t>P00362</t>
  </si>
  <si>
    <t>TXN942395319</t>
  </si>
  <si>
    <t>P00363</t>
  </si>
  <si>
    <t>TXN930304798</t>
  </si>
  <si>
    <t>P00364</t>
  </si>
  <si>
    <t>TXN992179634</t>
  </si>
  <si>
    <t>P00365</t>
  </si>
  <si>
    <t>TXN670260110</t>
  </si>
  <si>
    <t>P00366</t>
  </si>
  <si>
    <t>TXN691543822</t>
  </si>
  <si>
    <t>P00367</t>
  </si>
  <si>
    <t>TXN667978918</t>
  </si>
  <si>
    <t>P00368</t>
  </si>
  <si>
    <t>TXN956459341</t>
  </si>
  <si>
    <t>P00369</t>
  </si>
  <si>
    <t>TXN792764981</t>
  </si>
  <si>
    <t>P00370</t>
  </si>
  <si>
    <t>TXN110574067</t>
  </si>
  <si>
    <t>P00371</t>
  </si>
  <si>
    <t>TXN336130931</t>
  </si>
  <si>
    <t>P00372</t>
  </si>
  <si>
    <t>TXN186539259</t>
  </si>
  <si>
    <t>P00373</t>
  </si>
  <si>
    <t>TXN356475342</t>
  </si>
  <si>
    <t>P00374</t>
  </si>
  <si>
    <t>TXN592011323</t>
  </si>
  <si>
    <t>P00375</t>
  </si>
  <si>
    <t>TXN435139430</t>
  </si>
  <si>
    <t>P00376</t>
  </si>
  <si>
    <t>TXN245434193</t>
  </si>
  <si>
    <t>P00377</t>
  </si>
  <si>
    <t>TXN487757520</t>
  </si>
  <si>
    <t>P00378</t>
  </si>
  <si>
    <t>TXN407538334</t>
  </si>
  <si>
    <t>P00379</t>
  </si>
  <si>
    <t>TXN229886772</t>
  </si>
  <si>
    <t>P00380</t>
  </si>
  <si>
    <t>TXN791553857</t>
  </si>
  <si>
    <t>P00381</t>
  </si>
  <si>
    <t>TXN655370025</t>
  </si>
  <si>
    <t>P00382</t>
  </si>
  <si>
    <t>TXN326436986</t>
  </si>
  <si>
    <t>P00383</t>
  </si>
  <si>
    <t>TXN927555939</t>
  </si>
  <si>
    <t>P00384</t>
  </si>
  <si>
    <t>TXN504721408</t>
  </si>
  <si>
    <t>P00385</t>
  </si>
  <si>
    <t>TXN277726095</t>
  </si>
  <si>
    <t>P00386</t>
  </si>
  <si>
    <t>TXN192149116</t>
  </si>
  <si>
    <t>P00387</t>
  </si>
  <si>
    <t>TXN614392576</t>
  </si>
  <si>
    <t>P00388</t>
  </si>
  <si>
    <t>TXN788888337</t>
  </si>
  <si>
    <t>P00389</t>
  </si>
  <si>
    <t>TXN649397238</t>
  </si>
  <si>
    <t>P00390</t>
  </si>
  <si>
    <t>TXN556670911</t>
  </si>
  <si>
    <t>P00391</t>
  </si>
  <si>
    <t>TXN480176540</t>
  </si>
  <si>
    <t>P00392</t>
  </si>
  <si>
    <t>TXN262630278</t>
  </si>
  <si>
    <t>P00393</t>
  </si>
  <si>
    <t>TXN807502201</t>
  </si>
  <si>
    <t>P00394</t>
  </si>
  <si>
    <t>TXN920735650</t>
  </si>
  <si>
    <t>P00395</t>
  </si>
  <si>
    <t>TXN360150662</t>
  </si>
  <si>
    <t>P00396</t>
  </si>
  <si>
    <t>TXN238119171</t>
  </si>
  <si>
    <t>P00397</t>
  </si>
  <si>
    <t>TXN427466286</t>
  </si>
  <si>
    <t>P00398</t>
  </si>
  <si>
    <t>TXN999059578</t>
  </si>
  <si>
    <t>P00399</t>
  </si>
  <si>
    <t>TXN737941201</t>
  </si>
  <si>
    <t>P00400</t>
  </si>
  <si>
    <t>TXN275589230</t>
  </si>
  <si>
    <t>P00401</t>
  </si>
  <si>
    <t>TXN859272927</t>
  </si>
  <si>
    <t>P00402</t>
  </si>
  <si>
    <t>TXN708163288</t>
  </si>
  <si>
    <t>P00403</t>
  </si>
  <si>
    <t>TXN193087016</t>
  </si>
  <si>
    <t>P00404</t>
  </si>
  <si>
    <t>TXN831786529</t>
  </si>
  <si>
    <t>P00405</t>
  </si>
  <si>
    <t>TXN721794271</t>
  </si>
  <si>
    <t>P00406</t>
  </si>
  <si>
    <t>TXN880782972</t>
  </si>
  <si>
    <t>P00407</t>
  </si>
  <si>
    <t>TXN280324277</t>
  </si>
  <si>
    <t>P00408</t>
  </si>
  <si>
    <t>TXN311350887</t>
  </si>
  <si>
    <t>P00409</t>
  </si>
  <si>
    <t>TXN166463760</t>
  </si>
  <si>
    <t>P00410</t>
  </si>
  <si>
    <t>TXN954607260</t>
  </si>
  <si>
    <t>P00411</t>
  </si>
  <si>
    <t>TXN489551925</t>
  </si>
  <si>
    <t>P00412</t>
  </si>
  <si>
    <t>TXN924999780</t>
  </si>
  <si>
    <t>P00413</t>
  </si>
  <si>
    <t>TXN147048646</t>
  </si>
  <si>
    <t>P00414</t>
  </si>
  <si>
    <t>TXN899746954</t>
  </si>
  <si>
    <t>P00415</t>
  </si>
  <si>
    <t>TXN458457807</t>
  </si>
  <si>
    <t>P00416</t>
  </si>
  <si>
    <t>TXN990652366</t>
  </si>
  <si>
    <t>P00417</t>
  </si>
  <si>
    <t>TXN517710882</t>
  </si>
  <si>
    <t>P00418</t>
  </si>
  <si>
    <t>TXN117371460</t>
  </si>
  <si>
    <t>P00419</t>
  </si>
  <si>
    <t>TXN377023686</t>
  </si>
  <si>
    <t>P00420</t>
  </si>
  <si>
    <t>TXN776257832</t>
  </si>
  <si>
    <t>P00421</t>
  </si>
  <si>
    <t>TXN356746654</t>
  </si>
  <si>
    <t>P00422</t>
  </si>
  <si>
    <t>TXN326402540</t>
  </si>
  <si>
    <t>P00423</t>
  </si>
  <si>
    <t>TXN890311627</t>
  </si>
  <si>
    <t>P00424</t>
  </si>
  <si>
    <t>TXN138021413</t>
  </si>
  <si>
    <t>P00425</t>
  </si>
  <si>
    <t>TXN353918001</t>
  </si>
  <si>
    <t>P00426</t>
  </si>
  <si>
    <t>TXN409590055</t>
  </si>
  <si>
    <t>P00427</t>
  </si>
  <si>
    <t>TXN246176386</t>
  </si>
  <si>
    <t>P00428</t>
  </si>
  <si>
    <t>TXN824383841</t>
  </si>
  <si>
    <t>P00429</t>
  </si>
  <si>
    <t>TXN218380311</t>
  </si>
  <si>
    <t>P00430</t>
  </si>
  <si>
    <t>TXN123293765</t>
  </si>
  <si>
    <t>P00431</t>
  </si>
  <si>
    <t>TXN622265651</t>
  </si>
  <si>
    <t>P00432</t>
  </si>
  <si>
    <t>TXN680433872</t>
  </si>
  <si>
    <t>P00433</t>
  </si>
  <si>
    <t>TXN927053165</t>
  </si>
  <si>
    <t>P00434</t>
  </si>
  <si>
    <t>TXN182238028</t>
  </si>
  <si>
    <t>P00435</t>
  </si>
  <si>
    <t>TXN216119071</t>
  </si>
  <si>
    <t>P00436</t>
  </si>
  <si>
    <t>TXN693088437</t>
  </si>
  <si>
    <t>P00437</t>
  </si>
  <si>
    <t>TXN350876785</t>
  </si>
  <si>
    <t>P00438</t>
  </si>
  <si>
    <t>TXN716448234</t>
  </si>
  <si>
    <t>P00439</t>
  </si>
  <si>
    <t>TXN917659369</t>
  </si>
  <si>
    <t>P00440</t>
  </si>
  <si>
    <t>TXN707738401</t>
  </si>
  <si>
    <t>P00441</t>
  </si>
  <si>
    <t>TXN272241825</t>
  </si>
  <si>
    <t>P00442</t>
  </si>
  <si>
    <t>TXN515995221</t>
  </si>
  <si>
    <t>P00443</t>
  </si>
  <si>
    <t>TXN643074779</t>
  </si>
  <si>
    <t>P00444</t>
  </si>
  <si>
    <t>TXN372796116</t>
  </si>
  <si>
    <t>P00445</t>
  </si>
  <si>
    <t>TXN672151562</t>
  </si>
  <si>
    <t>P00446</t>
  </si>
  <si>
    <t>TXN745704482</t>
  </si>
  <si>
    <t>P00447</t>
  </si>
  <si>
    <t>TXN113822523</t>
  </si>
  <si>
    <t>P00448</t>
  </si>
  <si>
    <t>TXN738711949</t>
  </si>
  <si>
    <t>P00449</t>
  </si>
  <si>
    <t>TXN989094937</t>
  </si>
  <si>
    <t>P00450</t>
  </si>
  <si>
    <t>TXN639416429</t>
  </si>
  <si>
    <t>P00451</t>
  </si>
  <si>
    <t>TXN833855449</t>
  </si>
  <si>
    <t>P00452</t>
  </si>
  <si>
    <t>TXN746304327</t>
  </si>
  <si>
    <t>P00453</t>
  </si>
  <si>
    <t>TXN787929591</t>
  </si>
  <si>
    <t>P00454</t>
  </si>
  <si>
    <t>TXN770499630</t>
  </si>
  <si>
    <t>P00455</t>
  </si>
  <si>
    <t>TXN879519767</t>
  </si>
  <si>
    <t>P00456</t>
  </si>
  <si>
    <t>TXN759469073</t>
  </si>
  <si>
    <t>P00457</t>
  </si>
  <si>
    <t>TXN527296490</t>
  </si>
  <si>
    <t>P00458</t>
  </si>
  <si>
    <t>TXN286294225</t>
  </si>
  <si>
    <t>P00459</t>
  </si>
  <si>
    <t>TXN912036188</t>
  </si>
  <si>
    <t>P00460</t>
  </si>
  <si>
    <t>TXN801154983</t>
  </si>
  <si>
    <t>P00461</t>
  </si>
  <si>
    <t>TXN301321978</t>
  </si>
  <si>
    <t>P00462</t>
  </si>
  <si>
    <t>TXN648256662</t>
  </si>
  <si>
    <t>P00463</t>
  </si>
  <si>
    <t>TXN245387757</t>
  </si>
  <si>
    <t>P00464</t>
  </si>
  <si>
    <t>TXN266757899</t>
  </si>
  <si>
    <t>P00465</t>
  </si>
  <si>
    <t>TXN827932050</t>
  </si>
  <si>
    <t>P00466</t>
  </si>
  <si>
    <t>TXN697390361</t>
  </si>
  <si>
    <t>P00467</t>
  </si>
  <si>
    <t>TXN892594895</t>
  </si>
  <si>
    <t>P00468</t>
  </si>
  <si>
    <t>TXN561730193</t>
  </si>
  <si>
    <t>P00469</t>
  </si>
  <si>
    <t>TXN479216504</t>
  </si>
  <si>
    <t>P00470</t>
  </si>
  <si>
    <t>TXN757732436</t>
  </si>
  <si>
    <t>P00471</t>
  </si>
  <si>
    <t>TXN992124989</t>
  </si>
  <si>
    <t>P00472</t>
  </si>
  <si>
    <t>TXN466687744</t>
  </si>
  <si>
    <t>P00473</t>
  </si>
  <si>
    <t>TXN235095078</t>
  </si>
  <si>
    <t>P00474</t>
  </si>
  <si>
    <t>TXN776485961</t>
  </si>
  <si>
    <t>P00475</t>
  </si>
  <si>
    <t>TXN641735007</t>
  </si>
  <si>
    <t>P00476</t>
  </si>
  <si>
    <t>TXN441868776</t>
  </si>
  <si>
    <t>P00477</t>
  </si>
  <si>
    <t>TXN159083211</t>
  </si>
  <si>
    <t>P00478</t>
  </si>
  <si>
    <t>TXN462923877</t>
  </si>
  <si>
    <t>P00479</t>
  </si>
  <si>
    <t>TXN403430953</t>
  </si>
  <si>
    <t>P00480</t>
  </si>
  <si>
    <t>TXN781383875</t>
  </si>
  <si>
    <t>P00481</t>
  </si>
  <si>
    <t>TXN293300995</t>
  </si>
  <si>
    <t>P00482</t>
  </si>
  <si>
    <t>TXN393387662</t>
  </si>
  <si>
    <t>P00483</t>
  </si>
  <si>
    <t>TXN951459155</t>
  </si>
  <si>
    <t>P00484</t>
  </si>
  <si>
    <t>TXN677418502</t>
  </si>
  <si>
    <t>P00485</t>
  </si>
  <si>
    <t>TXN312312913</t>
  </si>
  <si>
    <t>P00486</t>
  </si>
  <si>
    <t>TXN988487631</t>
  </si>
  <si>
    <t>P00487</t>
  </si>
  <si>
    <t>TXN916839903</t>
  </si>
  <si>
    <t>P00488</t>
  </si>
  <si>
    <t>TXN410209287</t>
  </si>
  <si>
    <t>P00489</t>
  </si>
  <si>
    <t>TXN570459278</t>
  </si>
  <si>
    <t>P00490</t>
  </si>
  <si>
    <t>TXN456889328</t>
  </si>
  <si>
    <t>P00491</t>
  </si>
  <si>
    <t>TXN107356061</t>
  </si>
  <si>
    <t>P00492</t>
  </si>
  <si>
    <t>TXN316353986</t>
  </si>
  <si>
    <t>P00493</t>
  </si>
  <si>
    <t>TXN221782333</t>
  </si>
  <si>
    <t>P00494</t>
  </si>
  <si>
    <t>TXN722199726</t>
  </si>
  <si>
    <t>P00495</t>
  </si>
  <si>
    <t>TXN348503032</t>
  </si>
  <si>
    <t>P00496</t>
  </si>
  <si>
    <t>TXN770580489</t>
  </si>
  <si>
    <t>P00497</t>
  </si>
  <si>
    <t>TXN906290238</t>
  </si>
  <si>
    <t>P00498</t>
  </si>
  <si>
    <t>TXN725704071</t>
  </si>
  <si>
    <t>P00499</t>
  </si>
  <si>
    <t>TXN303326422</t>
  </si>
  <si>
    <t>P00500</t>
  </si>
  <si>
    <t>TXN538031961</t>
  </si>
  <si>
    <t>P00501</t>
  </si>
  <si>
    <t>TXN103218544</t>
  </si>
  <si>
    <t>P00502</t>
  </si>
  <si>
    <t>TXN251088603</t>
  </si>
  <si>
    <t>P00503</t>
  </si>
  <si>
    <t>TXN803226561</t>
  </si>
  <si>
    <t>P00504</t>
  </si>
  <si>
    <t>TXN650938263</t>
  </si>
  <si>
    <t>P00505</t>
  </si>
  <si>
    <t>TXN714456706</t>
  </si>
  <si>
    <t>P00506</t>
  </si>
  <si>
    <t>TXN144009808</t>
  </si>
  <si>
    <t>P00507</t>
  </si>
  <si>
    <t>TXN819654806</t>
  </si>
  <si>
    <t>P00508</t>
  </si>
  <si>
    <t>TXN588131219</t>
  </si>
  <si>
    <t>P00509</t>
  </si>
  <si>
    <t>TXN762917513</t>
  </si>
  <si>
    <t>P00510</t>
  </si>
  <si>
    <t>TXN671241986</t>
  </si>
  <si>
    <t>P00511</t>
  </si>
  <si>
    <t>TXN518068429</t>
  </si>
  <si>
    <t>P00512</t>
  </si>
  <si>
    <t>TXN790383282</t>
  </si>
  <si>
    <t>P00513</t>
  </si>
  <si>
    <t>TXN710215032</t>
  </si>
  <si>
    <t>P00514</t>
  </si>
  <si>
    <t>TXN961813993</t>
  </si>
  <si>
    <t>P00515</t>
  </si>
  <si>
    <t>TXN782079163</t>
  </si>
  <si>
    <t>P00516</t>
  </si>
  <si>
    <t>TXN634636409</t>
  </si>
  <si>
    <t>P00517</t>
  </si>
  <si>
    <t>TXN280059260</t>
  </si>
  <si>
    <t>P00518</t>
  </si>
  <si>
    <t>TXN149953207</t>
  </si>
  <si>
    <t>P00519</t>
  </si>
  <si>
    <t>TXN994040734</t>
  </si>
  <si>
    <t>P00520</t>
  </si>
  <si>
    <t>TXN462426287</t>
  </si>
  <si>
    <t>P00521</t>
  </si>
  <si>
    <t>TXN923601591</t>
  </si>
  <si>
    <t>P00522</t>
  </si>
  <si>
    <t>TXN649172881</t>
  </si>
  <si>
    <t>P00523</t>
  </si>
  <si>
    <t>TXN278737522</t>
  </si>
  <si>
    <t>P00524</t>
  </si>
  <si>
    <t>TXN559294084</t>
  </si>
  <si>
    <t>P00525</t>
  </si>
  <si>
    <t>TXN932595480</t>
  </si>
  <si>
    <t>P00526</t>
  </si>
  <si>
    <t>TXN596282524</t>
  </si>
  <si>
    <t>P00527</t>
  </si>
  <si>
    <t>TXN183722410</t>
  </si>
  <si>
    <t>P00528</t>
  </si>
  <si>
    <t>TXN940475734</t>
  </si>
  <si>
    <t>P00529</t>
  </si>
  <si>
    <t>TXN693607268</t>
  </si>
  <si>
    <t>P00530</t>
  </si>
  <si>
    <t>TXN669607940</t>
  </si>
  <si>
    <t>P00531</t>
  </si>
  <si>
    <t>TXN671538431</t>
  </si>
  <si>
    <t>P00532</t>
  </si>
  <si>
    <t>TXN801765898</t>
  </si>
  <si>
    <t>P00533</t>
  </si>
  <si>
    <t>TXN131397292</t>
  </si>
  <si>
    <t>P00534</t>
  </si>
  <si>
    <t>TXN167660210</t>
  </si>
  <si>
    <t>P00535</t>
  </si>
  <si>
    <t>TXN372914310</t>
  </si>
  <si>
    <t>P00536</t>
  </si>
  <si>
    <t>TXN423628387</t>
  </si>
  <si>
    <t>P00537</t>
  </si>
  <si>
    <t>TXN882911066</t>
  </si>
  <si>
    <t>P00538</t>
  </si>
  <si>
    <t>TXN199585686</t>
  </si>
  <si>
    <t>P00539</t>
  </si>
  <si>
    <t>TXN346007406</t>
  </si>
  <si>
    <t>P00540</t>
  </si>
  <si>
    <t>TXN547734359</t>
  </si>
  <si>
    <t>P00541</t>
  </si>
  <si>
    <t>TXN471644638</t>
  </si>
  <si>
    <t>P00542</t>
  </si>
  <si>
    <t>TXN287130314</t>
  </si>
  <si>
    <t>P00543</t>
  </si>
  <si>
    <t>TXN497003025</t>
  </si>
  <si>
    <t>P00544</t>
  </si>
  <si>
    <t>TXN362707768</t>
  </si>
  <si>
    <t>P00545</t>
  </si>
  <si>
    <t>TXN728318297</t>
  </si>
  <si>
    <t>P00546</t>
  </si>
  <si>
    <t>TXN823296728</t>
  </si>
  <si>
    <t>P00547</t>
  </si>
  <si>
    <t>TXN805714634</t>
  </si>
  <si>
    <t>P00548</t>
  </si>
  <si>
    <t>TXN953381252</t>
  </si>
  <si>
    <t>P00549</t>
  </si>
  <si>
    <t>TXN417928545</t>
  </si>
  <si>
    <t>P00550</t>
  </si>
  <si>
    <t>TXN171448143</t>
  </si>
  <si>
    <t>P00551</t>
  </si>
  <si>
    <t>TXN167945037</t>
  </si>
  <si>
    <t>P00552</t>
  </si>
  <si>
    <t>TXN142650673</t>
  </si>
  <si>
    <t>P00553</t>
  </si>
  <si>
    <t>TXN156939371</t>
  </si>
  <si>
    <t>P00554</t>
  </si>
  <si>
    <t>TXN752373331</t>
  </si>
  <si>
    <t>P00555</t>
  </si>
  <si>
    <t>TXN123310440</t>
  </si>
  <si>
    <t>P00556</t>
  </si>
  <si>
    <t>TXN145553977</t>
  </si>
  <si>
    <t>P00557</t>
  </si>
  <si>
    <t>TXN329215207</t>
  </si>
  <si>
    <t>P00558</t>
  </si>
  <si>
    <t>TXN767746978</t>
  </si>
  <si>
    <t>P00559</t>
  </si>
  <si>
    <t>TXN468056926</t>
  </si>
  <si>
    <t>P00560</t>
  </si>
  <si>
    <t>TXN252445842</t>
  </si>
  <si>
    <t>P00561</t>
  </si>
  <si>
    <t>TXN353009472</t>
  </si>
  <si>
    <t>P00562</t>
  </si>
  <si>
    <t>TXN957373789</t>
  </si>
  <si>
    <t>P00563</t>
  </si>
  <si>
    <t>TXN653730271</t>
  </si>
  <si>
    <t>P00564</t>
  </si>
  <si>
    <t>TXN283693131</t>
  </si>
  <si>
    <t>P00565</t>
  </si>
  <si>
    <t>TXN327023419</t>
  </si>
  <si>
    <t>P00566</t>
  </si>
  <si>
    <t>TXN192305348</t>
  </si>
  <si>
    <t>P00567</t>
  </si>
  <si>
    <t>TXN992897509</t>
  </si>
  <si>
    <t>P00568</t>
  </si>
  <si>
    <t>TXN600383927</t>
  </si>
  <si>
    <t>P00569</t>
  </si>
  <si>
    <t>TXN807255341</t>
  </si>
  <si>
    <t>P00570</t>
  </si>
  <si>
    <t>TXN613895359</t>
  </si>
  <si>
    <t>P00571</t>
  </si>
  <si>
    <t>TXN311169268</t>
  </si>
  <si>
    <t>P00572</t>
  </si>
  <si>
    <t>TXN920888486</t>
  </si>
  <si>
    <t>P00573</t>
  </si>
  <si>
    <t>TXN856928852</t>
  </si>
  <si>
    <t>P00574</t>
  </si>
  <si>
    <t>TXN564067958</t>
  </si>
  <si>
    <t>P00575</t>
  </si>
  <si>
    <t>TXN859928596</t>
  </si>
  <si>
    <t>P00576</t>
  </si>
  <si>
    <t>TXN997268029</t>
  </si>
  <si>
    <t>P00577</t>
  </si>
  <si>
    <t>TXN848770526</t>
  </si>
  <si>
    <t>P00578</t>
  </si>
  <si>
    <t>TXN254415153</t>
  </si>
  <si>
    <t>P00579</t>
  </si>
  <si>
    <t>TXN290383640</t>
  </si>
  <si>
    <t>P00580</t>
  </si>
  <si>
    <t>TXN636458209</t>
  </si>
  <si>
    <t>P00581</t>
  </si>
  <si>
    <t>TXN531925068</t>
  </si>
  <si>
    <t>P00582</t>
  </si>
  <si>
    <t>TXN332058149</t>
  </si>
  <si>
    <t>P00583</t>
  </si>
  <si>
    <t>TXN288134937</t>
  </si>
  <si>
    <t>P00584</t>
  </si>
  <si>
    <t>TXN467585031</t>
  </si>
  <si>
    <t>P00585</t>
  </si>
  <si>
    <t>TXN102010293</t>
  </si>
  <si>
    <t>P00586</t>
  </si>
  <si>
    <t>TXN509637949</t>
  </si>
  <si>
    <t>P00587</t>
  </si>
  <si>
    <t>TXN570238004</t>
  </si>
  <si>
    <t>P00588</t>
  </si>
  <si>
    <t>TXN883614902</t>
  </si>
  <si>
    <t>P00589</t>
  </si>
  <si>
    <t>TXN724181516</t>
  </si>
  <si>
    <t>P00590</t>
  </si>
  <si>
    <t>TXN311340718</t>
  </si>
  <si>
    <t>P00591</t>
  </si>
  <si>
    <t>TXN611100854</t>
  </si>
  <si>
    <t>P00592</t>
  </si>
  <si>
    <t>TXN299921870</t>
  </si>
  <si>
    <t>P00593</t>
  </si>
  <si>
    <t>TXN524787480</t>
  </si>
  <si>
    <t>P00594</t>
  </si>
  <si>
    <t>TXN523582150</t>
  </si>
  <si>
    <t>P00595</t>
  </si>
  <si>
    <t>TXN651715502</t>
  </si>
  <si>
    <t>P00596</t>
  </si>
  <si>
    <t>TXN194584310</t>
  </si>
  <si>
    <t>P00597</t>
  </si>
  <si>
    <t>TXN106399473</t>
  </si>
  <si>
    <t>P00598</t>
  </si>
  <si>
    <t>TXN789834191</t>
  </si>
  <si>
    <t>P00599</t>
  </si>
  <si>
    <t>TXN166730036</t>
  </si>
  <si>
    <t>P00600</t>
  </si>
  <si>
    <t>TXN793493122</t>
  </si>
  <si>
    <t>P00601</t>
  </si>
  <si>
    <t>TXN974765206</t>
  </si>
  <si>
    <t>P00602</t>
  </si>
  <si>
    <t>TXN604783232</t>
  </si>
  <si>
    <t>P00603</t>
  </si>
  <si>
    <t>TXN599679678</t>
  </si>
  <si>
    <t>P00604</t>
  </si>
  <si>
    <t>TXN134109136</t>
  </si>
  <si>
    <t>P00605</t>
  </si>
  <si>
    <t>TXN301965352</t>
  </si>
  <si>
    <t>P00606</t>
  </si>
  <si>
    <t>TXN965736485</t>
  </si>
  <si>
    <t>Room_Number</t>
  </si>
  <si>
    <t>Room_Type</t>
  </si>
  <si>
    <t>Floor</t>
  </si>
  <si>
    <t>Capacity</t>
  </si>
  <si>
    <t>Price_Per_Night</t>
  </si>
  <si>
    <t>Room_Status</t>
  </si>
  <si>
    <t>View_Type</t>
  </si>
  <si>
    <t>Bed_Type</t>
  </si>
  <si>
    <t>AC_Type</t>
  </si>
  <si>
    <t>Smoking_Allowed</t>
  </si>
  <si>
    <t>Last_Maintenance_Date</t>
  </si>
  <si>
    <t>Family Suite</t>
  </si>
  <si>
    <t>Occupied</t>
  </si>
  <si>
    <t>Pool View</t>
  </si>
  <si>
    <t>Double</t>
  </si>
  <si>
    <t>Non-AC</t>
  </si>
  <si>
    <t>Yes</t>
  </si>
  <si>
    <t>Deluxe</t>
  </si>
  <si>
    <t>Mountain View</t>
  </si>
  <si>
    <t>Single</t>
  </si>
  <si>
    <t>AC</t>
  </si>
  <si>
    <t>No</t>
  </si>
  <si>
    <t>Standard</t>
  </si>
  <si>
    <t>Available</t>
  </si>
  <si>
    <t>City View</t>
  </si>
  <si>
    <t>King</t>
  </si>
  <si>
    <t>Suite</t>
  </si>
  <si>
    <t>Garden View</t>
  </si>
  <si>
    <t>B0040</t>
  </si>
  <si>
    <t>B0047</t>
  </si>
  <si>
    <t>B0105</t>
  </si>
  <si>
    <t>B0109</t>
  </si>
  <si>
    <t>B0122</t>
  </si>
  <si>
    <t>B0134</t>
  </si>
  <si>
    <t>B0137</t>
  </si>
  <si>
    <t>B0141</t>
  </si>
  <si>
    <t>B0158</t>
  </si>
  <si>
    <t>B0163</t>
  </si>
  <si>
    <t>B0169</t>
  </si>
  <si>
    <t>B0170</t>
  </si>
  <si>
    <t>B0208</t>
  </si>
  <si>
    <t>B0210</t>
  </si>
  <si>
    <t>B0213</t>
  </si>
  <si>
    <t>B0217</t>
  </si>
  <si>
    <t>B0220</t>
  </si>
  <si>
    <t>B0222</t>
  </si>
  <si>
    <t>B0223</t>
  </si>
  <si>
    <t>B0255</t>
  </si>
  <si>
    <t>B0261</t>
  </si>
  <si>
    <t>B0269</t>
  </si>
  <si>
    <t>B0273</t>
  </si>
  <si>
    <t>B0287</t>
  </si>
  <si>
    <t>B0289</t>
  </si>
  <si>
    <t>B0295</t>
  </si>
  <si>
    <t>B0303</t>
  </si>
  <si>
    <t>B0304</t>
  </si>
  <si>
    <t>B0310</t>
  </si>
  <si>
    <t>B0311</t>
  </si>
  <si>
    <t>B0316</t>
  </si>
  <si>
    <t>B0325</t>
  </si>
  <si>
    <t>B0351</t>
  </si>
  <si>
    <t>B0352</t>
  </si>
  <si>
    <t>B0357</t>
  </si>
  <si>
    <t>B0360</t>
  </si>
  <si>
    <t>B0373</t>
  </si>
  <si>
    <t>B0375</t>
  </si>
  <si>
    <t>B0384</t>
  </si>
  <si>
    <t>B0387</t>
  </si>
  <si>
    <t>B0390</t>
  </si>
  <si>
    <t>B0393</t>
  </si>
  <si>
    <t>B0409</t>
  </si>
  <si>
    <t>B0410</t>
  </si>
  <si>
    <t>B0416</t>
  </si>
  <si>
    <t>B0418</t>
  </si>
  <si>
    <t>B0419</t>
  </si>
  <si>
    <t>B0427</t>
  </si>
  <si>
    <t>B0432</t>
  </si>
  <si>
    <t>B0434</t>
  </si>
  <si>
    <t>B0444</t>
  </si>
  <si>
    <t>B0447</t>
  </si>
  <si>
    <t>B0451</t>
  </si>
  <si>
    <t>B0453</t>
  </si>
  <si>
    <t>B0456</t>
  </si>
  <si>
    <t>B0466</t>
  </si>
  <si>
    <t>B0475</t>
  </si>
  <si>
    <t>B0483</t>
  </si>
  <si>
    <t>B0486</t>
  </si>
  <si>
    <t>B0491</t>
  </si>
  <si>
    <t>B0492</t>
  </si>
  <si>
    <t>B0497</t>
  </si>
  <si>
    <t>B0499</t>
  </si>
  <si>
    <t>B0502</t>
  </si>
  <si>
    <t>B0505</t>
  </si>
  <si>
    <t>B0506</t>
  </si>
  <si>
    <t>B0507</t>
  </si>
  <si>
    <t>B0515</t>
  </si>
  <si>
    <t>B0523</t>
  </si>
  <si>
    <t>B0528</t>
  </si>
  <si>
    <t>B0529</t>
  </si>
  <si>
    <t>B0533</t>
  </si>
  <si>
    <t>B0537</t>
  </si>
  <si>
    <t>B0539</t>
  </si>
  <si>
    <t>B0543</t>
  </si>
  <si>
    <t>B0545</t>
  </si>
  <si>
    <t>B0548</t>
  </si>
  <si>
    <t>B0549</t>
  </si>
  <si>
    <t>B0550</t>
  </si>
  <si>
    <t>B0561</t>
  </si>
  <si>
    <t>B0562</t>
  </si>
  <si>
    <t>B0569</t>
  </si>
  <si>
    <t>B0573</t>
  </si>
  <si>
    <t>B0585</t>
  </si>
  <si>
    <t>B0586</t>
  </si>
  <si>
    <t>B0588</t>
  </si>
  <si>
    <t>B0589</t>
  </si>
  <si>
    <t>B0590</t>
  </si>
  <si>
    <t>B0592</t>
  </si>
  <si>
    <t>B0593</t>
  </si>
  <si>
    <t>B0598</t>
  </si>
  <si>
    <t>B0601</t>
  </si>
  <si>
    <t>B0602</t>
  </si>
  <si>
    <t>B0603</t>
  </si>
  <si>
    <t>B0606</t>
  </si>
  <si>
    <t>B0610</t>
  </si>
  <si>
    <t>B0618</t>
  </si>
  <si>
    <t>B0620</t>
  </si>
  <si>
    <t>B0623</t>
  </si>
  <si>
    <t>B0628</t>
  </si>
  <si>
    <t>B0629</t>
  </si>
  <si>
    <t>B0630</t>
  </si>
  <si>
    <t>B0631</t>
  </si>
  <si>
    <t>B0636</t>
  </si>
  <si>
    <t>B0641</t>
  </si>
  <si>
    <t>B0648</t>
  </si>
  <si>
    <t>B0649</t>
  </si>
  <si>
    <t>B0656</t>
  </si>
  <si>
    <t>B0659</t>
  </si>
  <si>
    <t>B0663</t>
  </si>
  <si>
    <t>B0664</t>
  </si>
  <si>
    <t>B0668</t>
  </si>
  <si>
    <t>B0669</t>
  </si>
  <si>
    <t>B0671</t>
  </si>
  <si>
    <t>B0673</t>
  </si>
  <si>
    <t>B0674</t>
  </si>
  <si>
    <t>B0675</t>
  </si>
  <si>
    <t>B0679</t>
  </si>
  <si>
    <t>B0683</t>
  </si>
  <si>
    <t>B0684</t>
  </si>
  <si>
    <t>B0685</t>
  </si>
  <si>
    <t>B0689</t>
  </si>
  <si>
    <t>B0691</t>
  </si>
  <si>
    <t>B0692</t>
  </si>
  <si>
    <t>B0699</t>
  </si>
  <si>
    <t>B0706</t>
  </si>
  <si>
    <t>B0709</t>
  </si>
  <si>
    <t>B0712</t>
  </si>
  <si>
    <t>B0716</t>
  </si>
  <si>
    <t>B0718</t>
  </si>
  <si>
    <t>B0721</t>
  </si>
  <si>
    <t>B0722</t>
  </si>
  <si>
    <t>B0723</t>
  </si>
  <si>
    <t>B0725</t>
  </si>
  <si>
    <t>B0726</t>
  </si>
  <si>
    <t>B0727</t>
  </si>
  <si>
    <t>B0728</t>
  </si>
  <si>
    <t>B0730</t>
  </si>
  <si>
    <t>B0733</t>
  </si>
  <si>
    <t>B0737</t>
  </si>
  <si>
    <t>B0740</t>
  </si>
  <si>
    <t>B0742</t>
  </si>
  <si>
    <t>B0744</t>
  </si>
  <si>
    <t>B0747</t>
  </si>
  <si>
    <t>Room Amount</t>
  </si>
  <si>
    <t>Column3</t>
  </si>
  <si>
    <t>Payment Status</t>
  </si>
  <si>
    <t>-</t>
  </si>
  <si>
    <t>Total Amount</t>
  </si>
  <si>
    <t>Paid</t>
  </si>
  <si>
    <t>Pending</t>
  </si>
  <si>
    <t>Partial/Advanced</t>
  </si>
  <si>
    <t>Refund</t>
  </si>
  <si>
    <t>Amount_Paid</t>
  </si>
  <si>
    <t>Remainign_Amount</t>
  </si>
  <si>
    <t>Advanced</t>
  </si>
  <si>
    <t>1 nights charge</t>
  </si>
  <si>
    <t>Amount_Paid2</t>
  </si>
  <si>
    <t>Remainign_Amount3</t>
  </si>
  <si>
    <t>Stay_Days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</si>
</sst>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744F022-E703-4206-8ED3-82258832ED42}" autoFormatId="16" applyNumberFormats="0" applyBorderFormats="0" applyFontFormats="0" applyPatternFormats="0" applyAlignmentFormats="0" applyWidthHeightFormats="0">
  <queryTableRefresh nextId="13">
    <queryTableFields count="12">
      <queryTableField id="1" name="Room_ID" tableColumnId="1"/>
      <queryTableField id="2" name="Room_Number" tableColumnId="2"/>
      <queryTableField id="3" name="Room_Type" tableColumnId="3"/>
      <queryTableField id="4" name="Floor" tableColumnId="4"/>
      <queryTableField id="5" name="Capacity" tableColumnId="5"/>
      <queryTableField id="6" name="Price_Per_Night" tableColumnId="6"/>
      <queryTableField id="7" name="Room_Status" tableColumnId="7"/>
      <queryTableField id="8" name="View_Type" tableColumnId="8"/>
      <queryTableField id="9" name="Bed_Type" tableColumnId="9"/>
      <queryTableField id="10" name="AC_Type" tableColumnId="10"/>
      <queryTableField id="11" name="Smoking_Allowed" tableColumnId="11"/>
      <queryTableField id="12" name="Last_Maintenance_Dat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1064997F-619A-488C-B27E-E0E3F7D4CE97}" autoFormatId="16" applyNumberFormats="0" applyBorderFormats="0" applyFontFormats="0" applyPatternFormats="0" applyAlignmentFormats="0" applyWidthHeightFormats="0">
  <queryTableRefresh nextId="14">
    <queryTableFields count="11">
      <queryTableField id="1" name="Booking_ID" tableColumnId="1"/>
      <queryTableField id="2" name="Cust_ID" tableColumnId="2"/>
      <queryTableField id="3" name="Room_ID" tableColumnId="3"/>
      <queryTableField id="4" name="Emp_ID" tableColumnId="4"/>
      <queryTableField id="5" name="Booking_Date" tableColumnId="5"/>
      <queryTableField id="6" name="Checkin_Date" tableColumnId="6"/>
      <queryTableField id="7" name="Checkout_Date" tableColumnId="7"/>
      <queryTableField id="8" name="Room Amount" tableColumnId="8"/>
      <queryTableField id="9" name="Booking_Status" tableColumnId="9"/>
      <queryTableField id="12" name="Stay_Days" tableColumnId="10"/>
      <queryTableField id="11" name="Total Amoun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D46AC012-C55E-4361-8E58-2894BF978EA8}" autoFormatId="16" applyNumberFormats="0" applyBorderFormats="0" applyFontFormats="0" applyPatternFormats="0" applyAlignmentFormats="0" applyWidthHeightFormats="0">
  <queryTableRefresh nextId="26">
    <queryTableFields count="13">
      <queryTableField id="1" name="Payment_ID" tableColumnId="1"/>
      <queryTableField id="2" name="Booking_ID" tableColumnId="2"/>
      <queryTableField id="3" name="Column3" tableColumnId="3"/>
      <queryTableField id="4" name="Payment_Date" tableColumnId="4"/>
      <queryTableField id="5" name="Booking_Status" tableColumnId="5"/>
      <queryTableField id="6" name="Payment Status" tableColumnId="6"/>
      <queryTableField id="10" dataBound="0" tableColumnId="10"/>
      <queryTableField id="11" dataBound="0" tableColumnId="11"/>
      <queryTableField id="21" name="Amount_Paid" tableColumnId="12"/>
      <queryTableField id="22" name="Remainign_Amount" tableColumnId="13"/>
      <queryTableField id="7" name="Total Amount" tableColumnId="7"/>
      <queryTableField id="8" name="Payment_Method" tableColumnId="8"/>
      <queryTableField id="9" name="Transaction_ID" tableColumnId="9"/>
    </queryTableFields>
    <queryTableDeletedFields count="4">
      <deletedField name="Amount_Paid"/>
      <deletedField name="Remainign_Amount"/>
      <deletedField name="Amount_Paid"/>
      <deletedField name="Remainign_Amount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F9AE816-0877-4BE3-92C2-BC08901ADC91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Employee_Name" tableColumnId="2"/>
      <queryTableField id="3" name="Gender" tableColumnId="3"/>
      <queryTableField id="4" name="Age" tableColumnId="4"/>
      <queryTableField id="5" name="Department" tableColumnId="5"/>
      <queryTableField id="6" name="Designation" tableColumnId="6"/>
      <queryTableField id="7" name="Salary" tableColumnId="7"/>
      <queryTableField id="8" name="State" tableColumnId="8"/>
      <queryTableField id="9" name="City" tableColumnId="9"/>
      <queryTableField id="10" name="Joining_Date" tableColumnId="10"/>
      <queryTableField id="11" name="Shift" tableColumnId="11"/>
      <queryTableField id="12" name="Phone_Number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AF43DBF-8810-4EAC-AE3A-108A3CDFF45E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Customer_Name" tableColumnId="2"/>
      <queryTableField id="3" name="Age" tableColumnId="3"/>
      <queryTableField id="4" name="Gender" tableColumnId="4"/>
      <queryTableField id="5" name="City" tableColumnId="5"/>
      <queryTableField id="6" name="State" tableColumnId="6"/>
      <queryTableField id="7" name="Phone_Numb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3F1A74-35D8-4CCF-B75C-4E6E259310A9}" name="Room_Dataset" displayName="Room_Dataset" ref="A1:L85" tableType="queryTable" totalsRowShown="0">
  <autoFilter ref="A1:L85" xr:uid="{153F1A74-35D8-4CCF-B75C-4E6E259310A9}"/>
  <tableColumns count="12">
    <tableColumn id="1" xr3:uid="{8A003B27-19EC-47EB-8EAA-456388C7E3EC}" uniqueName="1" name="Room_ID" queryTableFieldId="1" dataDxfId="30"/>
    <tableColumn id="2" xr3:uid="{6508F6DE-B41D-4682-B222-82C0FDEBA94E}" uniqueName="2" name="Room_Number" queryTableFieldId="2"/>
    <tableColumn id="3" xr3:uid="{F1B392A0-234C-4F21-8CD3-F8B2A676EA8B}" uniqueName="3" name="Room_Type" queryTableFieldId="3" dataDxfId="29"/>
    <tableColumn id="4" xr3:uid="{806BC634-C68F-4177-8F04-D03091989EE0}" uniqueName="4" name="Floor" queryTableFieldId="4"/>
    <tableColumn id="5" xr3:uid="{A9051C2E-743E-4102-9B3B-9444CF827A21}" uniqueName="5" name="Capacity" queryTableFieldId="5"/>
    <tableColumn id="6" xr3:uid="{A0FB622E-1053-414E-926F-E5FB3924215F}" uniqueName="6" name="Price_Per_Night" queryTableFieldId="6"/>
    <tableColumn id="7" xr3:uid="{B7EAD57A-D3E7-4D4B-8258-B5B292DADBA0}" uniqueName="7" name="Room_Status" queryTableFieldId="7" dataDxfId="28"/>
    <tableColumn id="8" xr3:uid="{88D30251-C5BB-4380-A3DA-15D4054B9501}" uniqueName="8" name="View_Type" queryTableFieldId="8" dataDxfId="27"/>
    <tableColumn id="9" xr3:uid="{24616ED6-3707-4D69-A098-6A5B21D3CDBF}" uniqueName="9" name="Bed_Type" queryTableFieldId="9" dataDxfId="26"/>
    <tableColumn id="10" xr3:uid="{9C33B503-8C0F-4A93-B953-3611F52566AB}" uniqueName="10" name="AC_Type" queryTableFieldId="10" dataDxfId="25"/>
    <tableColumn id="11" xr3:uid="{BED2D97D-AFCD-475C-8560-1267B7536B13}" uniqueName="11" name="Smoking_Allowed" queryTableFieldId="11" dataDxfId="24"/>
    <tableColumn id="12" xr3:uid="{23A3CE61-7312-4AAA-B86F-3DC1143C17B9}" uniqueName="12" name="Last_Maintenance_Date" queryTableFieldId="1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BF520E-A860-49A0-80B0-B3DC72627365}" name="Booking_Dataset_Fact_Table" displayName="Booking_Dataset_Fact_Table" ref="A1:K751" tableType="queryTable" totalsRowShown="0">
  <autoFilter ref="A1:K751" xr:uid="{12BF520E-A860-49A0-80B0-B3DC72627365}"/>
  <tableColumns count="11">
    <tableColumn id="1" xr3:uid="{5021BBAF-1F2E-4D86-8107-7FC94C4B85AB}" uniqueName="1" name="Booking_ID" queryTableFieldId="1" dataDxfId="38"/>
    <tableColumn id="2" xr3:uid="{6CFC9534-578D-41F5-8AC3-C3739DD3385D}" uniqueName="2" name="Cust_ID" queryTableFieldId="2" dataDxfId="37"/>
    <tableColumn id="3" xr3:uid="{88D34D98-4665-418D-8B3D-065482D09C1F}" uniqueName="3" name="Room_ID" queryTableFieldId="3" dataDxfId="36"/>
    <tableColumn id="4" xr3:uid="{C63CF4B4-04BC-4E2C-ACD0-9B36583A7874}" uniqueName="4" name="Emp_ID" queryTableFieldId="4" dataDxfId="35"/>
    <tableColumn id="5" xr3:uid="{048C0F5C-DDD7-46D4-9974-CAE16396368E}" uniqueName="5" name="Booking_Date" queryTableFieldId="5" dataDxfId="34"/>
    <tableColumn id="6" xr3:uid="{0A6A4370-2BB3-4835-9B75-3C958280C8A1}" uniqueName="6" name="Checkin_Date" queryTableFieldId="6" dataDxfId="33"/>
    <tableColumn id="7" xr3:uid="{FB7A29C2-9AB0-4A62-848E-1B8BF8289E15}" uniqueName="7" name="Checkout_Date" queryTableFieldId="7" dataDxfId="32"/>
    <tableColumn id="8" xr3:uid="{4A78523A-BD29-4F06-BFF2-E22159F9A5E4}" uniqueName="8" name="Room Amount" queryTableFieldId="8"/>
    <tableColumn id="9" xr3:uid="{75ED34B4-4FD2-4D3D-9CAC-E621AD531712}" uniqueName="9" name="Booking_Status" queryTableFieldId="9" dataDxfId="31"/>
    <tableColumn id="10" xr3:uid="{454B1D5A-AFAF-4A3A-91A7-311900E66ACB}" uniqueName="10" name="Stay_Days" queryTableFieldId="12"/>
    <tableColumn id="11" xr3:uid="{520DD823-65E7-4F66-94B6-0DDBDF4D0460}" uniqueName="11" name="Total Amount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D2D57-F948-4774-A3F8-159877D42A2A}" name="Payment_Dataset" displayName="Payment_Dataset" ref="A1:M607" tableType="queryTable" totalsRowShown="0">
  <autoFilter ref="A1:M607" xr:uid="{987D2D57-F948-4774-A3F8-159877D42A2A}"/>
  <tableColumns count="13">
    <tableColumn id="1" xr3:uid="{62933202-BB7A-492C-BA3D-D400BBDB82AE}" uniqueName="1" name="Payment_ID" queryTableFieldId="1" dataDxfId="22"/>
    <tableColumn id="2" xr3:uid="{81A98A78-79AF-433B-A4E1-93D4090C60DA}" uniqueName="2" name="Booking_ID" queryTableFieldId="2" dataDxfId="21"/>
    <tableColumn id="3" xr3:uid="{13559AC1-47E0-483D-8E26-6899058230DE}" uniqueName="3" name="Column3" queryTableFieldId="3" dataDxfId="20"/>
    <tableColumn id="4" xr3:uid="{78429BD0-7A17-4366-B979-AFA6776AB89E}" uniqueName="4" name="Payment_Date" queryTableFieldId="4" dataDxfId="19"/>
    <tableColumn id="5" xr3:uid="{17B0CD13-C865-4F55-8A75-C33BC0FAF5FA}" uniqueName="5" name="Booking_Status" queryTableFieldId="5" dataDxfId="18"/>
    <tableColumn id="6" xr3:uid="{1D5A3516-4916-4427-8202-E8CD818D4397}" uniqueName="6" name="Payment Status" queryTableFieldId="6" dataDxfId="17"/>
    <tableColumn id="10" xr3:uid="{46A66C35-3784-496E-B624-60F5174CF02F}" uniqueName="10" name="Amount_Paid" queryTableFieldId="10" dataDxfId="16" dataCellStyle="Percent">
      <calculatedColumnFormula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calculatedColumnFormula>
    </tableColumn>
    <tableColumn id="11" xr3:uid="{1C75757D-9F29-46CE-9A69-B124AC92A3A5}" uniqueName="11" name="Remainign_Amount" queryTableFieldId="11" dataDxfId="15">
      <calculatedColumnFormula>Payment_Dataset[[#This Row],[Total Amount]]-Payment_Dataset[[#This Row],[Amount_Paid]]</calculatedColumnFormula>
    </tableColumn>
    <tableColumn id="12" xr3:uid="{6273B407-9218-41EE-8AE3-0C24B9FF2C54}" uniqueName="12" name="Amount_Paid2" queryTableFieldId="21"/>
    <tableColumn id="13" xr3:uid="{38B46901-425D-4E0F-B430-73AA12DC953A}" uniqueName="13" name="Remainign_Amount3" queryTableFieldId="22"/>
    <tableColumn id="7" xr3:uid="{7B89A766-B90D-4D3E-8E0E-6782A2F9BE67}" uniqueName="7" name="Total Amount" queryTableFieldId="7"/>
    <tableColumn id="8" xr3:uid="{0DC659D1-3C26-4873-9E13-72E331A0A01A}" uniqueName="8" name="Payment_Method" queryTableFieldId="8"/>
    <tableColumn id="9" xr3:uid="{73AE3E17-0A54-406A-B061-128EE1DFB537}" uniqueName="9" name="Transaction_ID" queryTableFieldId="9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072882-CA9F-4A1C-AA81-CF013EB79480}" name="Employee_Dataset" displayName="Employee_Dataset" ref="A1:L145" tableType="queryTable" totalsRowShown="0">
  <autoFilter ref="A1:L145" xr:uid="{80072882-CA9F-4A1C-AA81-CF013EB79480}"/>
  <tableColumns count="12">
    <tableColumn id="1" xr3:uid="{5B7126A1-D439-4813-9818-2E61B13AE622}" uniqueName="1" name="Employee_ID" queryTableFieldId="1" dataDxfId="13"/>
    <tableColumn id="2" xr3:uid="{EB9A2F11-8702-4EE5-87D1-2B5526156A37}" uniqueName="2" name="Employee_Name" queryTableFieldId="2" dataDxfId="12"/>
    <tableColumn id="3" xr3:uid="{75C0BE7E-0DE2-49E0-B3C9-2038D787FD2F}" uniqueName="3" name="Gender" queryTableFieldId="3" dataDxfId="11"/>
    <tableColumn id="4" xr3:uid="{F5562E84-122F-436C-92AA-C1BC4E29F372}" uniqueName="4" name="Age" queryTableFieldId="4"/>
    <tableColumn id="5" xr3:uid="{0392CF64-5CDE-4201-9B9D-6E33CE89AEFC}" uniqueName="5" name="Department" queryTableFieldId="5" dataDxfId="10"/>
    <tableColumn id="6" xr3:uid="{F4E57A9E-FF39-4327-8FB5-6657B9AB4B6C}" uniqueName="6" name="Designation" queryTableFieldId="6" dataDxfId="9"/>
    <tableColumn id="7" xr3:uid="{62FA115D-2047-427D-B715-DF4F8682FE39}" uniqueName="7" name="Salary" queryTableFieldId="7"/>
    <tableColumn id="8" xr3:uid="{16A13A2B-C949-4532-81F1-FE55E2BFBBBF}" uniqueName="8" name="State" queryTableFieldId="8" dataDxfId="8"/>
    <tableColumn id="9" xr3:uid="{F543F968-622B-445D-9898-D9CF31904F07}" uniqueName="9" name="City" queryTableFieldId="9" dataDxfId="7"/>
    <tableColumn id="10" xr3:uid="{D40159E1-E42E-43CE-B2AD-7157117D58D8}" uniqueName="10" name="Joining_Date" queryTableFieldId="10" dataDxfId="6"/>
    <tableColumn id="11" xr3:uid="{B64E6ABB-D568-4A8D-9EDF-9BBAEDC33347}" uniqueName="11" name="Shift" queryTableFieldId="11" dataDxfId="5"/>
    <tableColumn id="12" xr3:uid="{28B4E31E-BF5F-47FB-9736-8AE1350C8D73}" uniqueName="12" name="Phone_Number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4645E1-FDFC-4D0E-A26A-01463D4B509B}" name="Customer_Dataset" displayName="Customer_Dataset" ref="A1:G1831" tableType="queryTable" totalsRowShown="0">
  <autoFilter ref="A1:G1831" xr:uid="{D34645E1-FDFC-4D0E-A26A-01463D4B509B}"/>
  <tableColumns count="7">
    <tableColumn id="1" xr3:uid="{1EF36612-5E09-4E45-BF9C-6BADA9725A8F}" uniqueName="1" name="Customer_ID" queryTableFieldId="1" dataDxfId="4"/>
    <tableColumn id="2" xr3:uid="{5A524DAF-29A1-43EB-9E70-8DEA4DAF3D2E}" uniqueName="2" name="Customer_Name" queryTableFieldId="2" dataDxfId="3"/>
    <tableColumn id="3" xr3:uid="{E06AF53E-CA1B-4D28-A242-B9F79AFA3504}" uniqueName="3" name="Age" queryTableFieldId="3"/>
    <tableColumn id="4" xr3:uid="{84772624-A0AE-41EE-BB82-CF66A253921E}" uniqueName="4" name="Gender" queryTableFieldId="4" dataDxfId="2"/>
    <tableColumn id="5" xr3:uid="{C37136D8-FFB4-440A-A0EA-6C80F77A4F62}" uniqueName="5" name="City" queryTableFieldId="5" dataDxfId="1"/>
    <tableColumn id="6" xr3:uid="{5EDEF6CA-5B25-4B7E-8103-AB9378741A19}" uniqueName="6" name="State" queryTableFieldId="6" dataDxfId="0"/>
    <tableColumn id="7" xr3:uid="{95FF3A7B-25DE-4BE0-B9D0-E2E11E1B4E0B}" uniqueName="7" name="Phone_Numb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7822-57D1-4460-A6DF-95047ABC1581}">
  <dimension ref="A1:L85"/>
  <sheetViews>
    <sheetView topLeftCell="K1" workbookViewId="0">
      <selection activeCell="N14" sqref="N14"/>
    </sheetView>
  </sheetViews>
  <sheetFormatPr defaultRowHeight="14.4" x14ac:dyDescent="0.3"/>
  <cols>
    <col min="1" max="1" width="10.5546875" bestFit="1" customWidth="1"/>
    <col min="2" max="2" width="15.6640625" bestFit="1" customWidth="1"/>
    <col min="3" max="3" width="12.6640625" bestFit="1" customWidth="1"/>
    <col min="4" max="4" width="7.44140625" bestFit="1" customWidth="1"/>
    <col min="5" max="5" width="10.6640625" bestFit="1" customWidth="1"/>
    <col min="6" max="6" width="16.44140625" bestFit="1" customWidth="1"/>
    <col min="7" max="7" width="14.109375" bestFit="1" customWidth="1"/>
    <col min="8" max="8" width="12.6640625" bestFit="1" customWidth="1"/>
    <col min="9" max="9" width="11.109375" bestFit="1" customWidth="1"/>
    <col min="10" max="10" width="10.21875" bestFit="1" customWidth="1"/>
    <col min="11" max="11" width="18" bestFit="1" customWidth="1"/>
    <col min="12" max="12" width="23" bestFit="1" customWidth="1"/>
  </cols>
  <sheetData>
    <row r="1" spans="1:12" x14ac:dyDescent="0.3">
      <c r="A1" t="s">
        <v>2</v>
      </c>
      <c r="B1" t="s">
        <v>6003</v>
      </c>
      <c r="C1" t="s">
        <v>6004</v>
      </c>
      <c r="D1" t="s">
        <v>6005</v>
      </c>
      <c r="E1" t="s">
        <v>6006</v>
      </c>
      <c r="F1" t="s">
        <v>6007</v>
      </c>
      <c r="G1" t="s">
        <v>6008</v>
      </c>
      <c r="H1" t="s">
        <v>6009</v>
      </c>
      <c r="I1" t="s">
        <v>6010</v>
      </c>
      <c r="J1" t="s">
        <v>6011</v>
      </c>
      <c r="K1" t="s">
        <v>6012</v>
      </c>
      <c r="L1" t="s">
        <v>6013</v>
      </c>
    </row>
    <row r="2" spans="1:12" x14ac:dyDescent="0.3">
      <c r="A2" t="s">
        <v>389</v>
      </c>
      <c r="B2">
        <v>101</v>
      </c>
      <c r="C2" t="s">
        <v>6014</v>
      </c>
      <c r="D2">
        <v>1</v>
      </c>
      <c r="E2">
        <v>6</v>
      </c>
      <c r="F2">
        <v>7700</v>
      </c>
      <c r="G2" t="s">
        <v>6015</v>
      </c>
      <c r="H2" t="s">
        <v>6016</v>
      </c>
      <c r="I2" t="s">
        <v>6017</v>
      </c>
      <c r="J2" t="s">
        <v>6018</v>
      </c>
      <c r="K2" t="s">
        <v>6019</v>
      </c>
      <c r="L2" s="1"/>
    </row>
    <row r="3" spans="1:12" x14ac:dyDescent="0.3">
      <c r="A3" t="s">
        <v>41</v>
      </c>
      <c r="B3">
        <v>102</v>
      </c>
      <c r="C3" t="s">
        <v>6020</v>
      </c>
      <c r="D3">
        <v>1</v>
      </c>
      <c r="E3">
        <v>3</v>
      </c>
      <c r="F3">
        <v>5500</v>
      </c>
      <c r="G3" t="s">
        <v>6015</v>
      </c>
      <c r="H3" t="s">
        <v>6021</v>
      </c>
      <c r="I3" t="s">
        <v>6022</v>
      </c>
      <c r="J3" t="s">
        <v>6023</v>
      </c>
      <c r="K3" t="s">
        <v>6024</v>
      </c>
      <c r="L3" s="1"/>
    </row>
    <row r="4" spans="1:12" x14ac:dyDescent="0.3">
      <c r="A4" t="s">
        <v>125</v>
      </c>
      <c r="B4">
        <v>103</v>
      </c>
      <c r="C4" t="s">
        <v>6025</v>
      </c>
      <c r="D4">
        <v>1</v>
      </c>
      <c r="E4">
        <v>2</v>
      </c>
      <c r="F4">
        <v>4800</v>
      </c>
      <c r="G4" t="s">
        <v>6026</v>
      </c>
      <c r="H4" t="s">
        <v>6027</v>
      </c>
      <c r="I4" t="s">
        <v>6028</v>
      </c>
      <c r="J4" t="s">
        <v>6023</v>
      </c>
      <c r="K4" t="s">
        <v>6019</v>
      </c>
      <c r="L4" s="1"/>
    </row>
    <row r="5" spans="1:12" x14ac:dyDescent="0.3">
      <c r="A5" t="s">
        <v>15</v>
      </c>
      <c r="B5">
        <v>104</v>
      </c>
      <c r="C5" t="s">
        <v>6020</v>
      </c>
      <c r="D5">
        <v>1</v>
      </c>
      <c r="E5">
        <v>3</v>
      </c>
      <c r="F5">
        <v>6500</v>
      </c>
      <c r="G5" t="s">
        <v>4486</v>
      </c>
      <c r="H5" t="s">
        <v>6021</v>
      </c>
      <c r="I5" t="s">
        <v>6028</v>
      </c>
      <c r="J5" t="s">
        <v>6023</v>
      </c>
      <c r="K5" t="s">
        <v>6019</v>
      </c>
      <c r="L5" s="1">
        <v>46150</v>
      </c>
    </row>
    <row r="6" spans="1:12" x14ac:dyDescent="0.3">
      <c r="A6" t="s">
        <v>338</v>
      </c>
      <c r="B6">
        <v>105</v>
      </c>
      <c r="C6" t="s">
        <v>6014</v>
      </c>
      <c r="D6">
        <v>1</v>
      </c>
      <c r="E6">
        <v>6</v>
      </c>
      <c r="F6">
        <v>7700</v>
      </c>
      <c r="G6" t="s">
        <v>6015</v>
      </c>
      <c r="H6" t="s">
        <v>6016</v>
      </c>
      <c r="I6" t="s">
        <v>6017</v>
      </c>
      <c r="J6" t="s">
        <v>6018</v>
      </c>
      <c r="K6" t="s">
        <v>6019</v>
      </c>
      <c r="L6" s="1"/>
    </row>
    <row r="7" spans="1:12" x14ac:dyDescent="0.3">
      <c r="A7" t="s">
        <v>138</v>
      </c>
      <c r="B7">
        <v>106</v>
      </c>
      <c r="C7" t="s">
        <v>6014</v>
      </c>
      <c r="D7">
        <v>1</v>
      </c>
      <c r="E7">
        <v>6</v>
      </c>
      <c r="F7">
        <v>7500</v>
      </c>
      <c r="G7" t="s">
        <v>6015</v>
      </c>
      <c r="H7" t="s">
        <v>6021</v>
      </c>
      <c r="I7" t="s">
        <v>6017</v>
      </c>
      <c r="J7" t="s">
        <v>6018</v>
      </c>
      <c r="K7" t="s">
        <v>6024</v>
      </c>
      <c r="L7" s="1"/>
    </row>
    <row r="8" spans="1:12" x14ac:dyDescent="0.3">
      <c r="A8" t="s">
        <v>270</v>
      </c>
      <c r="B8">
        <v>107</v>
      </c>
      <c r="C8" t="s">
        <v>6025</v>
      </c>
      <c r="D8">
        <v>1</v>
      </c>
      <c r="E8">
        <v>2</v>
      </c>
      <c r="F8">
        <v>4000</v>
      </c>
      <c r="G8" t="s">
        <v>6026</v>
      </c>
      <c r="H8" t="s">
        <v>6027</v>
      </c>
      <c r="I8" t="s">
        <v>6028</v>
      </c>
      <c r="J8" t="s">
        <v>6018</v>
      </c>
      <c r="K8" t="s">
        <v>6019</v>
      </c>
      <c r="L8" s="1"/>
    </row>
    <row r="9" spans="1:12" x14ac:dyDescent="0.3">
      <c r="A9" t="s">
        <v>317</v>
      </c>
      <c r="B9">
        <v>108</v>
      </c>
      <c r="C9" t="s">
        <v>6025</v>
      </c>
      <c r="D9">
        <v>1</v>
      </c>
      <c r="E9">
        <v>2</v>
      </c>
      <c r="F9">
        <v>3500</v>
      </c>
      <c r="G9" t="s">
        <v>4486</v>
      </c>
      <c r="H9" t="s">
        <v>6027</v>
      </c>
      <c r="I9" t="s">
        <v>6017</v>
      </c>
      <c r="J9" t="s">
        <v>6018</v>
      </c>
      <c r="K9" t="s">
        <v>6019</v>
      </c>
      <c r="L9" s="1">
        <v>46030</v>
      </c>
    </row>
    <row r="10" spans="1:12" x14ac:dyDescent="0.3">
      <c r="A10" t="s">
        <v>130</v>
      </c>
      <c r="B10">
        <v>109</v>
      </c>
      <c r="C10" t="s">
        <v>6029</v>
      </c>
      <c r="D10">
        <v>1</v>
      </c>
      <c r="E10">
        <v>4</v>
      </c>
      <c r="F10">
        <v>6400</v>
      </c>
      <c r="G10" t="s">
        <v>6026</v>
      </c>
      <c r="H10" t="s">
        <v>6016</v>
      </c>
      <c r="I10" t="s">
        <v>6022</v>
      </c>
      <c r="J10" t="s">
        <v>6018</v>
      </c>
      <c r="K10" t="s">
        <v>6024</v>
      </c>
      <c r="L10" s="1"/>
    </row>
    <row r="11" spans="1:12" x14ac:dyDescent="0.3">
      <c r="A11" t="s">
        <v>92</v>
      </c>
      <c r="B11">
        <v>110</v>
      </c>
      <c r="C11" t="s">
        <v>6020</v>
      </c>
      <c r="D11">
        <v>1</v>
      </c>
      <c r="E11">
        <v>3</v>
      </c>
      <c r="F11">
        <v>4200</v>
      </c>
      <c r="G11" t="s">
        <v>6015</v>
      </c>
      <c r="H11" t="s">
        <v>6030</v>
      </c>
      <c r="I11" t="s">
        <v>6022</v>
      </c>
      <c r="J11" t="s">
        <v>6018</v>
      </c>
      <c r="K11" t="s">
        <v>6024</v>
      </c>
      <c r="L11" s="1"/>
    </row>
    <row r="12" spans="1:12" x14ac:dyDescent="0.3">
      <c r="A12" t="s">
        <v>10</v>
      </c>
      <c r="B12">
        <v>111</v>
      </c>
      <c r="C12" t="s">
        <v>6020</v>
      </c>
      <c r="D12">
        <v>1</v>
      </c>
      <c r="E12">
        <v>3</v>
      </c>
      <c r="F12">
        <v>6700</v>
      </c>
      <c r="G12" t="s">
        <v>6026</v>
      </c>
      <c r="H12" t="s">
        <v>6016</v>
      </c>
      <c r="I12" t="s">
        <v>6028</v>
      </c>
      <c r="J12" t="s">
        <v>6023</v>
      </c>
      <c r="K12" t="s">
        <v>6019</v>
      </c>
      <c r="L12" s="1"/>
    </row>
    <row r="13" spans="1:12" x14ac:dyDescent="0.3">
      <c r="A13" t="s">
        <v>711</v>
      </c>
      <c r="B13">
        <v>112</v>
      </c>
      <c r="C13" t="s">
        <v>6029</v>
      </c>
      <c r="D13">
        <v>1</v>
      </c>
      <c r="E13">
        <v>4</v>
      </c>
      <c r="F13">
        <v>7000</v>
      </c>
      <c r="G13" t="s">
        <v>6015</v>
      </c>
      <c r="H13" t="s">
        <v>6021</v>
      </c>
      <c r="I13" t="s">
        <v>6022</v>
      </c>
      <c r="J13" t="s">
        <v>6023</v>
      </c>
      <c r="K13" t="s">
        <v>6024</v>
      </c>
      <c r="L13" s="1"/>
    </row>
    <row r="14" spans="1:12" x14ac:dyDescent="0.3">
      <c r="A14" t="s">
        <v>499</v>
      </c>
      <c r="B14">
        <v>113</v>
      </c>
      <c r="C14" t="s">
        <v>6014</v>
      </c>
      <c r="D14">
        <v>1</v>
      </c>
      <c r="E14">
        <v>6</v>
      </c>
      <c r="F14">
        <v>7700</v>
      </c>
      <c r="G14" t="s">
        <v>6026</v>
      </c>
      <c r="H14" t="s">
        <v>6016</v>
      </c>
      <c r="I14" t="s">
        <v>6017</v>
      </c>
      <c r="J14" t="s">
        <v>6018</v>
      </c>
      <c r="K14" t="s">
        <v>6019</v>
      </c>
      <c r="L14" s="1"/>
    </row>
    <row r="15" spans="1:12" x14ac:dyDescent="0.3">
      <c r="A15" t="s">
        <v>488</v>
      </c>
      <c r="B15">
        <v>114</v>
      </c>
      <c r="C15" t="s">
        <v>6020</v>
      </c>
      <c r="D15">
        <v>1</v>
      </c>
      <c r="E15">
        <v>3</v>
      </c>
      <c r="F15">
        <v>4500</v>
      </c>
      <c r="G15" t="s">
        <v>4486</v>
      </c>
      <c r="H15" t="s">
        <v>6027</v>
      </c>
      <c r="I15" t="s">
        <v>6022</v>
      </c>
      <c r="J15" t="s">
        <v>6023</v>
      </c>
      <c r="K15" t="s">
        <v>6019</v>
      </c>
      <c r="L15" s="1">
        <v>45859</v>
      </c>
    </row>
    <row r="16" spans="1:12" x14ac:dyDescent="0.3">
      <c r="A16" t="s">
        <v>57</v>
      </c>
      <c r="B16">
        <v>115</v>
      </c>
      <c r="C16" t="s">
        <v>6014</v>
      </c>
      <c r="D16">
        <v>1</v>
      </c>
      <c r="E16">
        <v>6</v>
      </c>
      <c r="F16">
        <v>7700</v>
      </c>
      <c r="G16" t="s">
        <v>6026</v>
      </c>
      <c r="H16" t="s">
        <v>6016</v>
      </c>
      <c r="I16" t="s">
        <v>6017</v>
      </c>
      <c r="J16" t="s">
        <v>6018</v>
      </c>
      <c r="K16" t="s">
        <v>6024</v>
      </c>
      <c r="L16" s="1"/>
    </row>
    <row r="17" spans="1:12" x14ac:dyDescent="0.3">
      <c r="A17" t="s">
        <v>159</v>
      </c>
      <c r="B17">
        <v>116</v>
      </c>
      <c r="C17" t="s">
        <v>6029</v>
      </c>
      <c r="D17">
        <v>1</v>
      </c>
      <c r="E17">
        <v>4</v>
      </c>
      <c r="F17">
        <v>7200</v>
      </c>
      <c r="G17" t="s">
        <v>6015</v>
      </c>
      <c r="H17" t="s">
        <v>6021</v>
      </c>
      <c r="I17" t="s">
        <v>6028</v>
      </c>
      <c r="J17" t="s">
        <v>6018</v>
      </c>
      <c r="K17" t="s">
        <v>6024</v>
      </c>
      <c r="L17" s="1"/>
    </row>
    <row r="18" spans="1:12" x14ac:dyDescent="0.3">
      <c r="A18" t="s">
        <v>84</v>
      </c>
      <c r="B18">
        <v>117</v>
      </c>
      <c r="C18" t="s">
        <v>6025</v>
      </c>
      <c r="D18">
        <v>1</v>
      </c>
      <c r="E18">
        <v>2</v>
      </c>
      <c r="F18">
        <v>5200</v>
      </c>
      <c r="G18" t="s">
        <v>6015</v>
      </c>
      <c r="H18" t="s">
        <v>6016</v>
      </c>
      <c r="I18" t="s">
        <v>6028</v>
      </c>
      <c r="J18" t="s">
        <v>6018</v>
      </c>
      <c r="K18" t="s">
        <v>6019</v>
      </c>
      <c r="L18" s="1"/>
    </row>
    <row r="19" spans="1:12" x14ac:dyDescent="0.3">
      <c r="A19" t="s">
        <v>119</v>
      </c>
      <c r="B19">
        <v>118</v>
      </c>
      <c r="C19" t="s">
        <v>6020</v>
      </c>
      <c r="D19">
        <v>1</v>
      </c>
      <c r="E19">
        <v>3</v>
      </c>
      <c r="F19">
        <v>4700</v>
      </c>
      <c r="G19" t="s">
        <v>6026</v>
      </c>
      <c r="H19" t="s">
        <v>6030</v>
      </c>
      <c r="I19" t="s">
        <v>6017</v>
      </c>
      <c r="J19" t="s">
        <v>6018</v>
      </c>
      <c r="K19" t="s">
        <v>6019</v>
      </c>
      <c r="L19" s="1"/>
    </row>
    <row r="20" spans="1:12" x14ac:dyDescent="0.3">
      <c r="A20" t="s">
        <v>326</v>
      </c>
      <c r="B20">
        <v>119</v>
      </c>
      <c r="C20" t="s">
        <v>6025</v>
      </c>
      <c r="D20">
        <v>1</v>
      </c>
      <c r="E20">
        <v>2</v>
      </c>
      <c r="F20">
        <v>4000</v>
      </c>
      <c r="G20" t="s">
        <v>6026</v>
      </c>
      <c r="H20" t="s">
        <v>6021</v>
      </c>
      <c r="I20" t="s">
        <v>6022</v>
      </c>
      <c r="J20" t="s">
        <v>6018</v>
      </c>
      <c r="K20" t="s">
        <v>6024</v>
      </c>
      <c r="L20" s="1"/>
    </row>
    <row r="21" spans="1:12" x14ac:dyDescent="0.3">
      <c r="A21" t="s">
        <v>36</v>
      </c>
      <c r="B21">
        <v>120</v>
      </c>
      <c r="C21" t="s">
        <v>6014</v>
      </c>
      <c r="D21">
        <v>1</v>
      </c>
      <c r="E21">
        <v>6</v>
      </c>
      <c r="F21">
        <v>7000</v>
      </c>
      <c r="G21" t="s">
        <v>6026</v>
      </c>
      <c r="H21" t="s">
        <v>6030</v>
      </c>
      <c r="I21" t="s">
        <v>6017</v>
      </c>
      <c r="J21" t="s">
        <v>6018</v>
      </c>
      <c r="K21" t="s">
        <v>6024</v>
      </c>
      <c r="L21" s="1"/>
    </row>
    <row r="22" spans="1:12" x14ac:dyDescent="0.3">
      <c r="A22" t="s">
        <v>255</v>
      </c>
      <c r="B22">
        <v>121</v>
      </c>
      <c r="C22" t="s">
        <v>6025</v>
      </c>
      <c r="D22">
        <v>1</v>
      </c>
      <c r="E22">
        <v>2</v>
      </c>
      <c r="F22">
        <v>4200</v>
      </c>
      <c r="G22" t="s">
        <v>6026</v>
      </c>
      <c r="H22" t="s">
        <v>6016</v>
      </c>
      <c r="I22" t="s">
        <v>6022</v>
      </c>
      <c r="J22" t="s">
        <v>6018</v>
      </c>
      <c r="K22" t="s">
        <v>6019</v>
      </c>
      <c r="L22" s="1"/>
    </row>
    <row r="23" spans="1:12" x14ac:dyDescent="0.3">
      <c r="A23" t="s">
        <v>252</v>
      </c>
      <c r="B23">
        <v>122</v>
      </c>
      <c r="C23" t="s">
        <v>6014</v>
      </c>
      <c r="D23">
        <v>1</v>
      </c>
      <c r="E23">
        <v>6</v>
      </c>
      <c r="F23">
        <v>7800</v>
      </c>
      <c r="G23" t="s">
        <v>6026</v>
      </c>
      <c r="H23" t="s">
        <v>6027</v>
      </c>
      <c r="I23" t="s">
        <v>6028</v>
      </c>
      <c r="J23" t="s">
        <v>6023</v>
      </c>
      <c r="K23" t="s">
        <v>6019</v>
      </c>
      <c r="L23" s="1"/>
    </row>
    <row r="24" spans="1:12" x14ac:dyDescent="0.3">
      <c r="A24" t="s">
        <v>294</v>
      </c>
      <c r="B24">
        <v>123</v>
      </c>
      <c r="C24" t="s">
        <v>6029</v>
      </c>
      <c r="D24">
        <v>1</v>
      </c>
      <c r="E24">
        <v>4</v>
      </c>
      <c r="F24">
        <v>6400</v>
      </c>
      <c r="G24" t="s">
        <v>6026</v>
      </c>
      <c r="H24" t="s">
        <v>6016</v>
      </c>
      <c r="I24" t="s">
        <v>6022</v>
      </c>
      <c r="J24" t="s">
        <v>6018</v>
      </c>
      <c r="K24" t="s">
        <v>6024</v>
      </c>
      <c r="L24" s="1"/>
    </row>
    <row r="25" spans="1:12" x14ac:dyDescent="0.3">
      <c r="A25" t="s">
        <v>152</v>
      </c>
      <c r="B25">
        <v>124</v>
      </c>
      <c r="C25" t="s">
        <v>6014</v>
      </c>
      <c r="D25">
        <v>1</v>
      </c>
      <c r="E25">
        <v>6</v>
      </c>
      <c r="F25">
        <v>7800</v>
      </c>
      <c r="G25" t="s">
        <v>6026</v>
      </c>
      <c r="H25" t="s">
        <v>6021</v>
      </c>
      <c r="I25" t="s">
        <v>6022</v>
      </c>
      <c r="J25" t="s">
        <v>6023</v>
      </c>
      <c r="K25" t="s">
        <v>6019</v>
      </c>
      <c r="L25" s="1"/>
    </row>
    <row r="26" spans="1:12" x14ac:dyDescent="0.3">
      <c r="A26" t="s">
        <v>87</v>
      </c>
      <c r="B26">
        <v>125</v>
      </c>
      <c r="C26" t="s">
        <v>6020</v>
      </c>
      <c r="D26">
        <v>1</v>
      </c>
      <c r="E26">
        <v>3</v>
      </c>
      <c r="F26">
        <v>5000</v>
      </c>
      <c r="G26" t="s">
        <v>6026</v>
      </c>
      <c r="H26" t="s">
        <v>6030</v>
      </c>
      <c r="I26" t="s">
        <v>6022</v>
      </c>
      <c r="J26" t="s">
        <v>6023</v>
      </c>
      <c r="K26" t="s">
        <v>6024</v>
      </c>
      <c r="L26" s="1"/>
    </row>
    <row r="27" spans="1:12" x14ac:dyDescent="0.3">
      <c r="A27" t="s">
        <v>32</v>
      </c>
      <c r="B27">
        <v>126</v>
      </c>
      <c r="C27" t="s">
        <v>6029</v>
      </c>
      <c r="D27">
        <v>1</v>
      </c>
      <c r="E27">
        <v>4</v>
      </c>
      <c r="F27">
        <v>7000</v>
      </c>
      <c r="G27" t="s">
        <v>6026</v>
      </c>
      <c r="H27" t="s">
        <v>6027</v>
      </c>
      <c r="I27" t="s">
        <v>6028</v>
      </c>
      <c r="J27" t="s">
        <v>6023</v>
      </c>
      <c r="K27" t="s">
        <v>6024</v>
      </c>
      <c r="L27" s="1"/>
    </row>
    <row r="28" spans="1:12" x14ac:dyDescent="0.3">
      <c r="A28" t="s">
        <v>103</v>
      </c>
      <c r="B28">
        <v>127</v>
      </c>
      <c r="C28" t="s">
        <v>6014</v>
      </c>
      <c r="D28">
        <v>1</v>
      </c>
      <c r="E28">
        <v>6</v>
      </c>
      <c r="F28">
        <v>7000</v>
      </c>
      <c r="G28" t="s">
        <v>6015</v>
      </c>
      <c r="H28" t="s">
        <v>6027</v>
      </c>
      <c r="I28" t="s">
        <v>6028</v>
      </c>
      <c r="J28" t="s">
        <v>6018</v>
      </c>
      <c r="K28" t="s">
        <v>6019</v>
      </c>
      <c r="L28" s="1"/>
    </row>
    <row r="29" spans="1:12" x14ac:dyDescent="0.3">
      <c r="A29" t="s">
        <v>219</v>
      </c>
      <c r="B29">
        <v>128</v>
      </c>
      <c r="C29" t="s">
        <v>6020</v>
      </c>
      <c r="D29">
        <v>1</v>
      </c>
      <c r="E29">
        <v>3</v>
      </c>
      <c r="F29">
        <v>4700</v>
      </c>
      <c r="G29" t="s">
        <v>6015</v>
      </c>
      <c r="H29" t="s">
        <v>6021</v>
      </c>
      <c r="I29" t="s">
        <v>6022</v>
      </c>
      <c r="J29" t="s">
        <v>6018</v>
      </c>
      <c r="K29" t="s">
        <v>6024</v>
      </c>
      <c r="L29" s="1"/>
    </row>
    <row r="30" spans="1:12" x14ac:dyDescent="0.3">
      <c r="A30" t="s">
        <v>182</v>
      </c>
      <c r="B30">
        <v>129</v>
      </c>
      <c r="C30" t="s">
        <v>6014</v>
      </c>
      <c r="D30">
        <v>1</v>
      </c>
      <c r="E30">
        <v>6</v>
      </c>
      <c r="F30">
        <v>7000</v>
      </c>
      <c r="G30" t="s">
        <v>6026</v>
      </c>
      <c r="H30" t="s">
        <v>6030</v>
      </c>
      <c r="I30" t="s">
        <v>6017</v>
      </c>
      <c r="J30" t="s">
        <v>6018</v>
      </c>
      <c r="K30" t="s">
        <v>6024</v>
      </c>
      <c r="L30" s="1"/>
    </row>
    <row r="31" spans="1:12" x14ac:dyDescent="0.3">
      <c r="A31" t="s">
        <v>25</v>
      </c>
      <c r="B31">
        <v>130</v>
      </c>
      <c r="C31" t="s">
        <v>6029</v>
      </c>
      <c r="D31">
        <v>1</v>
      </c>
      <c r="E31">
        <v>4</v>
      </c>
      <c r="F31">
        <v>6700</v>
      </c>
      <c r="G31" t="s">
        <v>6015</v>
      </c>
      <c r="H31" t="s">
        <v>6021</v>
      </c>
      <c r="I31" t="s">
        <v>6017</v>
      </c>
      <c r="J31" t="s">
        <v>6018</v>
      </c>
      <c r="K31" t="s">
        <v>6024</v>
      </c>
      <c r="L31" s="1"/>
    </row>
    <row r="32" spans="1:12" x14ac:dyDescent="0.3">
      <c r="A32" t="s">
        <v>73</v>
      </c>
      <c r="B32">
        <v>131</v>
      </c>
      <c r="C32" t="s">
        <v>6014</v>
      </c>
      <c r="D32">
        <v>1</v>
      </c>
      <c r="E32">
        <v>6</v>
      </c>
      <c r="F32">
        <v>7800</v>
      </c>
      <c r="G32" t="s">
        <v>6026</v>
      </c>
      <c r="H32" t="s">
        <v>6027</v>
      </c>
      <c r="I32" t="s">
        <v>6028</v>
      </c>
      <c r="J32" t="s">
        <v>6023</v>
      </c>
      <c r="K32" t="s">
        <v>6024</v>
      </c>
      <c r="L32" s="1"/>
    </row>
    <row r="33" spans="1:12" x14ac:dyDescent="0.3">
      <c r="A33" t="s">
        <v>188</v>
      </c>
      <c r="B33">
        <v>132</v>
      </c>
      <c r="C33" t="s">
        <v>6020</v>
      </c>
      <c r="D33">
        <v>1</v>
      </c>
      <c r="E33">
        <v>3</v>
      </c>
      <c r="F33">
        <v>6500</v>
      </c>
      <c r="G33" t="s">
        <v>6015</v>
      </c>
      <c r="H33" t="s">
        <v>6021</v>
      </c>
      <c r="I33" t="s">
        <v>6028</v>
      </c>
      <c r="J33" t="s">
        <v>6023</v>
      </c>
      <c r="K33" t="s">
        <v>6024</v>
      </c>
      <c r="L33" s="1"/>
    </row>
    <row r="34" spans="1:12" x14ac:dyDescent="0.3">
      <c r="A34" t="s">
        <v>276</v>
      </c>
      <c r="B34">
        <v>133</v>
      </c>
      <c r="C34" t="s">
        <v>6020</v>
      </c>
      <c r="D34">
        <v>1</v>
      </c>
      <c r="E34">
        <v>3</v>
      </c>
      <c r="F34">
        <v>5000</v>
      </c>
      <c r="G34" t="s">
        <v>6015</v>
      </c>
      <c r="H34" t="s">
        <v>6027</v>
      </c>
      <c r="I34" t="s">
        <v>6017</v>
      </c>
      <c r="J34" t="s">
        <v>6023</v>
      </c>
      <c r="K34" t="s">
        <v>6019</v>
      </c>
      <c r="L34" s="1"/>
    </row>
    <row r="35" spans="1:12" x14ac:dyDescent="0.3">
      <c r="A35" t="s">
        <v>109</v>
      </c>
      <c r="B35">
        <v>134</v>
      </c>
      <c r="C35" t="s">
        <v>6014</v>
      </c>
      <c r="D35">
        <v>1</v>
      </c>
      <c r="E35">
        <v>6</v>
      </c>
      <c r="F35">
        <v>7200</v>
      </c>
      <c r="G35" t="s">
        <v>6026</v>
      </c>
      <c r="H35" t="s">
        <v>6016</v>
      </c>
      <c r="I35" t="s">
        <v>6022</v>
      </c>
      <c r="J35" t="s">
        <v>6018</v>
      </c>
      <c r="K35" t="s">
        <v>6019</v>
      </c>
      <c r="L35" s="1"/>
    </row>
    <row r="36" spans="1:12" x14ac:dyDescent="0.3">
      <c r="A36" t="s">
        <v>526</v>
      </c>
      <c r="B36">
        <v>135</v>
      </c>
      <c r="C36" t="s">
        <v>6029</v>
      </c>
      <c r="D36">
        <v>1</v>
      </c>
      <c r="E36">
        <v>4</v>
      </c>
      <c r="F36">
        <v>6200</v>
      </c>
      <c r="G36" t="s">
        <v>6015</v>
      </c>
      <c r="H36" t="s">
        <v>6030</v>
      </c>
      <c r="I36" t="s">
        <v>6017</v>
      </c>
      <c r="J36" t="s">
        <v>6018</v>
      </c>
      <c r="K36" t="s">
        <v>6019</v>
      </c>
      <c r="L36" s="1"/>
    </row>
    <row r="37" spans="1:12" x14ac:dyDescent="0.3">
      <c r="A37" t="s">
        <v>407</v>
      </c>
      <c r="B37">
        <v>136</v>
      </c>
      <c r="C37" t="s">
        <v>6014</v>
      </c>
      <c r="D37">
        <v>1</v>
      </c>
      <c r="E37">
        <v>6</v>
      </c>
      <c r="F37">
        <v>8000</v>
      </c>
      <c r="G37" t="s">
        <v>6015</v>
      </c>
      <c r="H37" t="s">
        <v>6016</v>
      </c>
      <c r="I37" t="s">
        <v>6022</v>
      </c>
      <c r="J37" t="s">
        <v>6023</v>
      </c>
      <c r="K37" t="s">
        <v>6024</v>
      </c>
      <c r="L37" s="1"/>
    </row>
    <row r="38" spans="1:12" x14ac:dyDescent="0.3">
      <c r="A38" t="s">
        <v>446</v>
      </c>
      <c r="B38">
        <v>137</v>
      </c>
      <c r="C38" t="s">
        <v>6014</v>
      </c>
      <c r="D38">
        <v>1</v>
      </c>
      <c r="E38">
        <v>6</v>
      </c>
      <c r="F38">
        <v>8800</v>
      </c>
      <c r="G38" t="s">
        <v>6015</v>
      </c>
      <c r="H38" t="s">
        <v>6021</v>
      </c>
      <c r="I38" t="s">
        <v>6028</v>
      </c>
      <c r="J38" t="s">
        <v>6023</v>
      </c>
      <c r="K38" t="s">
        <v>6024</v>
      </c>
      <c r="L38" s="1"/>
    </row>
    <row r="39" spans="1:12" x14ac:dyDescent="0.3">
      <c r="A39" t="s">
        <v>240</v>
      </c>
      <c r="B39">
        <v>138</v>
      </c>
      <c r="C39" t="s">
        <v>6020</v>
      </c>
      <c r="D39">
        <v>1</v>
      </c>
      <c r="E39">
        <v>3</v>
      </c>
      <c r="F39">
        <v>5400</v>
      </c>
      <c r="G39" t="s">
        <v>6026</v>
      </c>
      <c r="H39" t="s">
        <v>6016</v>
      </c>
      <c r="I39" t="s">
        <v>6017</v>
      </c>
      <c r="J39" t="s">
        <v>6018</v>
      </c>
      <c r="K39" t="s">
        <v>6019</v>
      </c>
      <c r="L39" s="1"/>
    </row>
    <row r="40" spans="1:12" x14ac:dyDescent="0.3">
      <c r="A40" t="s">
        <v>45</v>
      </c>
      <c r="B40">
        <v>139</v>
      </c>
      <c r="C40" t="s">
        <v>6014</v>
      </c>
      <c r="D40">
        <v>1</v>
      </c>
      <c r="E40">
        <v>6</v>
      </c>
      <c r="F40">
        <v>7700</v>
      </c>
      <c r="G40" t="s">
        <v>6026</v>
      </c>
      <c r="H40" t="s">
        <v>6016</v>
      </c>
      <c r="I40" t="s">
        <v>6017</v>
      </c>
      <c r="J40" t="s">
        <v>6018</v>
      </c>
      <c r="K40" t="s">
        <v>6019</v>
      </c>
      <c r="L40" s="1"/>
    </row>
    <row r="41" spans="1:12" x14ac:dyDescent="0.3">
      <c r="A41" t="s">
        <v>896</v>
      </c>
      <c r="B41">
        <v>140</v>
      </c>
      <c r="C41" t="s">
        <v>6029</v>
      </c>
      <c r="D41">
        <v>1</v>
      </c>
      <c r="E41">
        <v>4</v>
      </c>
      <c r="F41">
        <v>6200</v>
      </c>
      <c r="G41" t="s">
        <v>6026</v>
      </c>
      <c r="H41" t="s">
        <v>6030</v>
      </c>
      <c r="I41" t="s">
        <v>6017</v>
      </c>
      <c r="J41" t="s">
        <v>6018</v>
      </c>
      <c r="K41" t="s">
        <v>6024</v>
      </c>
      <c r="L41" s="1"/>
    </row>
    <row r="42" spans="1:12" x14ac:dyDescent="0.3">
      <c r="A42" t="s">
        <v>165</v>
      </c>
      <c r="B42">
        <v>141</v>
      </c>
      <c r="C42" t="s">
        <v>6020</v>
      </c>
      <c r="D42">
        <v>1</v>
      </c>
      <c r="E42">
        <v>3</v>
      </c>
      <c r="F42">
        <v>5200</v>
      </c>
      <c r="G42" t="s">
        <v>6026</v>
      </c>
      <c r="H42" t="s">
        <v>6030</v>
      </c>
      <c r="I42" t="s">
        <v>6028</v>
      </c>
      <c r="J42" t="s">
        <v>6018</v>
      </c>
      <c r="K42" t="s">
        <v>6024</v>
      </c>
      <c r="L42" s="1"/>
    </row>
    <row r="43" spans="1:12" x14ac:dyDescent="0.3">
      <c r="A43" t="s">
        <v>583</v>
      </c>
      <c r="B43">
        <v>142</v>
      </c>
      <c r="C43" t="s">
        <v>6020</v>
      </c>
      <c r="D43">
        <v>1</v>
      </c>
      <c r="E43">
        <v>3</v>
      </c>
      <c r="F43">
        <v>5500</v>
      </c>
      <c r="G43" t="s">
        <v>6026</v>
      </c>
      <c r="H43" t="s">
        <v>6021</v>
      </c>
      <c r="I43" t="s">
        <v>6022</v>
      </c>
      <c r="J43" t="s">
        <v>6023</v>
      </c>
      <c r="K43" t="s">
        <v>6019</v>
      </c>
      <c r="L43" s="1"/>
    </row>
    <row r="44" spans="1:12" x14ac:dyDescent="0.3">
      <c r="A44" t="s">
        <v>22</v>
      </c>
      <c r="B44">
        <v>143</v>
      </c>
      <c r="C44" t="s">
        <v>6014</v>
      </c>
      <c r="D44">
        <v>1</v>
      </c>
      <c r="E44">
        <v>6</v>
      </c>
      <c r="F44">
        <v>7000</v>
      </c>
      <c r="G44" t="s">
        <v>6026</v>
      </c>
      <c r="H44" t="s">
        <v>6021</v>
      </c>
      <c r="I44" t="s">
        <v>6022</v>
      </c>
      <c r="J44" t="s">
        <v>6018</v>
      </c>
      <c r="K44" t="s">
        <v>6024</v>
      </c>
      <c r="L44" s="1"/>
    </row>
    <row r="45" spans="1:12" x14ac:dyDescent="0.3">
      <c r="A45" t="s">
        <v>273</v>
      </c>
      <c r="B45">
        <v>144</v>
      </c>
      <c r="C45" t="s">
        <v>6020</v>
      </c>
      <c r="D45">
        <v>1</v>
      </c>
      <c r="E45">
        <v>3</v>
      </c>
      <c r="F45">
        <v>3700</v>
      </c>
      <c r="G45" t="s">
        <v>4486</v>
      </c>
      <c r="H45" t="s">
        <v>6027</v>
      </c>
      <c r="I45" t="s">
        <v>6022</v>
      </c>
      <c r="J45" t="s">
        <v>6018</v>
      </c>
      <c r="K45" t="s">
        <v>6019</v>
      </c>
      <c r="L45" s="1">
        <v>45918</v>
      </c>
    </row>
    <row r="46" spans="1:12" x14ac:dyDescent="0.3">
      <c r="A46" t="s">
        <v>343</v>
      </c>
      <c r="B46">
        <v>145</v>
      </c>
      <c r="C46" t="s">
        <v>6029</v>
      </c>
      <c r="D46">
        <v>1</v>
      </c>
      <c r="E46">
        <v>4</v>
      </c>
      <c r="F46">
        <v>7000</v>
      </c>
      <c r="G46" t="s">
        <v>6026</v>
      </c>
      <c r="H46" t="s">
        <v>6021</v>
      </c>
      <c r="I46" t="s">
        <v>6022</v>
      </c>
      <c r="J46" t="s">
        <v>6023</v>
      </c>
      <c r="K46" t="s">
        <v>6024</v>
      </c>
      <c r="L46" s="1"/>
    </row>
    <row r="47" spans="1:12" x14ac:dyDescent="0.3">
      <c r="A47" t="s">
        <v>106</v>
      </c>
      <c r="B47">
        <v>146</v>
      </c>
      <c r="C47" t="s">
        <v>6025</v>
      </c>
      <c r="D47">
        <v>1</v>
      </c>
      <c r="E47">
        <v>2</v>
      </c>
      <c r="F47">
        <v>4300</v>
      </c>
      <c r="G47" t="s">
        <v>6026</v>
      </c>
      <c r="H47" t="s">
        <v>6027</v>
      </c>
      <c r="I47" t="s">
        <v>6017</v>
      </c>
      <c r="J47" t="s">
        <v>6023</v>
      </c>
      <c r="K47" t="s">
        <v>6019</v>
      </c>
      <c r="L47" s="1"/>
    </row>
    <row r="48" spans="1:12" x14ac:dyDescent="0.3">
      <c r="A48" t="s">
        <v>335</v>
      </c>
      <c r="B48">
        <v>147</v>
      </c>
      <c r="C48" t="s">
        <v>6029</v>
      </c>
      <c r="D48">
        <v>1</v>
      </c>
      <c r="E48">
        <v>4</v>
      </c>
      <c r="F48">
        <v>6500</v>
      </c>
      <c r="G48" t="s">
        <v>6015</v>
      </c>
      <c r="H48" t="s">
        <v>6030</v>
      </c>
      <c r="I48" t="s">
        <v>6022</v>
      </c>
      <c r="J48" t="s">
        <v>6023</v>
      </c>
      <c r="K48" t="s">
        <v>6024</v>
      </c>
      <c r="L48" s="1"/>
    </row>
    <row r="49" spans="1:12" x14ac:dyDescent="0.3">
      <c r="A49" t="s">
        <v>67</v>
      </c>
      <c r="B49">
        <v>148</v>
      </c>
      <c r="C49" t="s">
        <v>6014</v>
      </c>
      <c r="D49">
        <v>1</v>
      </c>
      <c r="E49">
        <v>6</v>
      </c>
      <c r="F49">
        <v>9000</v>
      </c>
      <c r="G49" t="s">
        <v>6026</v>
      </c>
      <c r="H49" t="s">
        <v>6016</v>
      </c>
      <c r="I49" t="s">
        <v>6028</v>
      </c>
      <c r="J49" t="s">
        <v>6023</v>
      </c>
      <c r="K49" t="s">
        <v>6024</v>
      </c>
      <c r="L49" s="1"/>
    </row>
    <row r="50" spans="1:12" x14ac:dyDescent="0.3">
      <c r="A50" t="s">
        <v>149</v>
      </c>
      <c r="B50">
        <v>149</v>
      </c>
      <c r="C50" t="s">
        <v>6025</v>
      </c>
      <c r="D50">
        <v>1</v>
      </c>
      <c r="E50">
        <v>2</v>
      </c>
      <c r="F50">
        <v>6000</v>
      </c>
      <c r="G50" t="s">
        <v>6015</v>
      </c>
      <c r="H50" t="s">
        <v>6016</v>
      </c>
      <c r="I50" t="s">
        <v>6028</v>
      </c>
      <c r="J50" t="s">
        <v>6023</v>
      </c>
      <c r="K50" t="s">
        <v>6019</v>
      </c>
      <c r="L50" s="1"/>
    </row>
    <row r="51" spans="1:12" x14ac:dyDescent="0.3">
      <c r="A51" t="s">
        <v>146</v>
      </c>
      <c r="B51">
        <v>150</v>
      </c>
      <c r="C51" t="s">
        <v>6020</v>
      </c>
      <c r="D51">
        <v>1</v>
      </c>
      <c r="E51">
        <v>3</v>
      </c>
      <c r="F51">
        <v>4700</v>
      </c>
      <c r="G51" t="s">
        <v>6026</v>
      </c>
      <c r="H51" t="s">
        <v>6027</v>
      </c>
      <c r="I51" t="s">
        <v>6028</v>
      </c>
      <c r="J51" t="s">
        <v>6018</v>
      </c>
      <c r="K51" t="s">
        <v>6024</v>
      </c>
      <c r="L51" s="1"/>
    </row>
    <row r="52" spans="1:12" x14ac:dyDescent="0.3">
      <c r="A52" t="s">
        <v>54</v>
      </c>
      <c r="B52">
        <v>151</v>
      </c>
      <c r="C52" t="s">
        <v>6014</v>
      </c>
      <c r="D52">
        <v>1</v>
      </c>
      <c r="E52">
        <v>6</v>
      </c>
      <c r="F52">
        <v>7500</v>
      </c>
      <c r="G52" t="s">
        <v>6026</v>
      </c>
      <c r="H52" t="s">
        <v>6030</v>
      </c>
      <c r="I52" t="s">
        <v>6028</v>
      </c>
      <c r="J52" t="s">
        <v>6018</v>
      </c>
      <c r="K52" t="s">
        <v>6019</v>
      </c>
      <c r="L52" s="1"/>
    </row>
    <row r="53" spans="1:12" x14ac:dyDescent="0.3">
      <c r="A53" t="s">
        <v>279</v>
      </c>
      <c r="B53">
        <v>152</v>
      </c>
      <c r="C53" t="s">
        <v>6025</v>
      </c>
      <c r="D53">
        <v>1</v>
      </c>
      <c r="E53">
        <v>2</v>
      </c>
      <c r="F53">
        <v>4700</v>
      </c>
      <c r="G53" t="s">
        <v>6015</v>
      </c>
      <c r="H53" t="s">
        <v>6016</v>
      </c>
      <c r="I53" t="s">
        <v>6017</v>
      </c>
      <c r="J53" t="s">
        <v>6018</v>
      </c>
      <c r="K53" t="s">
        <v>6019</v>
      </c>
      <c r="L53" s="1"/>
    </row>
    <row r="54" spans="1:12" x14ac:dyDescent="0.3">
      <c r="A54" t="s">
        <v>439</v>
      </c>
      <c r="B54">
        <v>153</v>
      </c>
      <c r="C54" t="s">
        <v>6025</v>
      </c>
      <c r="D54">
        <v>1</v>
      </c>
      <c r="E54">
        <v>2</v>
      </c>
      <c r="F54">
        <v>4800</v>
      </c>
      <c r="G54" t="s">
        <v>6015</v>
      </c>
      <c r="H54" t="s">
        <v>6027</v>
      </c>
      <c r="I54" t="s">
        <v>6028</v>
      </c>
      <c r="J54" t="s">
        <v>6023</v>
      </c>
      <c r="K54" t="s">
        <v>6019</v>
      </c>
      <c r="L54" s="1"/>
    </row>
    <row r="55" spans="1:12" x14ac:dyDescent="0.3">
      <c r="A55" t="s">
        <v>245</v>
      </c>
      <c r="B55">
        <v>154</v>
      </c>
      <c r="C55" t="s">
        <v>6014</v>
      </c>
      <c r="D55">
        <v>1</v>
      </c>
      <c r="E55">
        <v>6</v>
      </c>
      <c r="F55">
        <v>8300</v>
      </c>
      <c r="G55" t="s">
        <v>6026</v>
      </c>
      <c r="H55" t="s">
        <v>6030</v>
      </c>
      <c r="I55" t="s">
        <v>6028</v>
      </c>
      <c r="J55" t="s">
        <v>6023</v>
      </c>
      <c r="K55" t="s">
        <v>6024</v>
      </c>
      <c r="L55" s="1"/>
    </row>
    <row r="56" spans="1:12" x14ac:dyDescent="0.3">
      <c r="A56" t="s">
        <v>98</v>
      </c>
      <c r="B56">
        <v>155</v>
      </c>
      <c r="C56" t="s">
        <v>6029</v>
      </c>
      <c r="D56">
        <v>1</v>
      </c>
      <c r="E56">
        <v>4</v>
      </c>
      <c r="F56">
        <v>6700</v>
      </c>
      <c r="G56" t="s">
        <v>6026</v>
      </c>
      <c r="H56" t="s">
        <v>6021</v>
      </c>
      <c r="I56" t="s">
        <v>6017</v>
      </c>
      <c r="J56" t="s">
        <v>6018</v>
      </c>
      <c r="K56" t="s">
        <v>6024</v>
      </c>
      <c r="L56" s="1"/>
    </row>
    <row r="57" spans="1:12" x14ac:dyDescent="0.3">
      <c r="A57" t="s">
        <v>366</v>
      </c>
      <c r="B57">
        <v>156</v>
      </c>
      <c r="C57" t="s">
        <v>6029</v>
      </c>
      <c r="D57">
        <v>1</v>
      </c>
      <c r="E57">
        <v>4</v>
      </c>
      <c r="F57">
        <v>7700</v>
      </c>
      <c r="G57" t="s">
        <v>6026</v>
      </c>
      <c r="H57" t="s">
        <v>6016</v>
      </c>
      <c r="I57" t="s">
        <v>6017</v>
      </c>
      <c r="J57" t="s">
        <v>6023</v>
      </c>
      <c r="K57" t="s">
        <v>6024</v>
      </c>
      <c r="L57" s="1"/>
    </row>
    <row r="58" spans="1:12" x14ac:dyDescent="0.3">
      <c r="A58" t="s">
        <v>193</v>
      </c>
      <c r="B58">
        <v>157</v>
      </c>
      <c r="C58" t="s">
        <v>6014</v>
      </c>
      <c r="D58">
        <v>1</v>
      </c>
      <c r="E58">
        <v>6</v>
      </c>
      <c r="F58">
        <v>6500</v>
      </c>
      <c r="G58" t="s">
        <v>6015</v>
      </c>
      <c r="H58" t="s">
        <v>6030</v>
      </c>
      <c r="I58" t="s">
        <v>6022</v>
      </c>
      <c r="J58" t="s">
        <v>6018</v>
      </c>
      <c r="K58" t="s">
        <v>6024</v>
      </c>
      <c r="L58" s="1"/>
    </row>
    <row r="59" spans="1:12" x14ac:dyDescent="0.3">
      <c r="A59" t="s">
        <v>211</v>
      </c>
      <c r="B59">
        <v>158</v>
      </c>
      <c r="C59" t="s">
        <v>6014</v>
      </c>
      <c r="D59">
        <v>1</v>
      </c>
      <c r="E59">
        <v>6</v>
      </c>
      <c r="F59">
        <v>7200</v>
      </c>
      <c r="G59" t="s">
        <v>6026</v>
      </c>
      <c r="H59" t="s">
        <v>6016</v>
      </c>
      <c r="I59" t="s">
        <v>6022</v>
      </c>
      <c r="J59" t="s">
        <v>6018</v>
      </c>
      <c r="K59" t="s">
        <v>6024</v>
      </c>
      <c r="L59" s="1"/>
    </row>
    <row r="60" spans="1:12" x14ac:dyDescent="0.3">
      <c r="A60" t="s">
        <v>175</v>
      </c>
      <c r="B60">
        <v>159</v>
      </c>
      <c r="C60" t="s">
        <v>6020</v>
      </c>
      <c r="D60">
        <v>1</v>
      </c>
      <c r="E60">
        <v>3</v>
      </c>
      <c r="F60">
        <v>6200</v>
      </c>
      <c r="G60" t="s">
        <v>6026</v>
      </c>
      <c r="H60" t="s">
        <v>6016</v>
      </c>
      <c r="I60" t="s">
        <v>6017</v>
      </c>
      <c r="J60" t="s">
        <v>6023</v>
      </c>
      <c r="K60" t="s">
        <v>6019</v>
      </c>
      <c r="L60" s="1"/>
    </row>
    <row r="61" spans="1:12" x14ac:dyDescent="0.3">
      <c r="A61" t="s">
        <v>204</v>
      </c>
      <c r="B61">
        <v>160</v>
      </c>
      <c r="C61" t="s">
        <v>6014</v>
      </c>
      <c r="D61">
        <v>2</v>
      </c>
      <c r="E61">
        <v>6</v>
      </c>
      <c r="F61">
        <v>7000</v>
      </c>
      <c r="G61" t="s">
        <v>4486</v>
      </c>
      <c r="H61" t="s">
        <v>6030</v>
      </c>
      <c r="I61" t="s">
        <v>6017</v>
      </c>
      <c r="J61" t="s">
        <v>6018</v>
      </c>
      <c r="K61" t="s">
        <v>6024</v>
      </c>
      <c r="L61" s="1">
        <v>45913</v>
      </c>
    </row>
    <row r="62" spans="1:12" x14ac:dyDescent="0.3">
      <c r="A62" t="s">
        <v>18</v>
      </c>
      <c r="B62">
        <v>161</v>
      </c>
      <c r="C62" t="s">
        <v>6029</v>
      </c>
      <c r="D62">
        <v>2</v>
      </c>
      <c r="E62">
        <v>4</v>
      </c>
      <c r="F62">
        <v>6900</v>
      </c>
      <c r="G62" t="s">
        <v>6026</v>
      </c>
      <c r="H62" t="s">
        <v>6016</v>
      </c>
      <c r="I62" t="s">
        <v>6017</v>
      </c>
      <c r="J62" t="s">
        <v>6018</v>
      </c>
      <c r="K62" t="s">
        <v>6024</v>
      </c>
      <c r="L62" s="1"/>
    </row>
    <row r="63" spans="1:12" x14ac:dyDescent="0.3">
      <c r="A63" t="s">
        <v>400</v>
      </c>
      <c r="B63">
        <v>162</v>
      </c>
      <c r="C63" t="s">
        <v>6025</v>
      </c>
      <c r="D63">
        <v>2</v>
      </c>
      <c r="E63">
        <v>2</v>
      </c>
      <c r="F63">
        <v>4200</v>
      </c>
      <c r="G63" t="s">
        <v>6015</v>
      </c>
      <c r="H63" t="s">
        <v>6016</v>
      </c>
      <c r="I63" t="s">
        <v>6022</v>
      </c>
      <c r="J63" t="s">
        <v>6018</v>
      </c>
      <c r="K63" t="s">
        <v>6019</v>
      </c>
      <c r="L63" s="1"/>
    </row>
    <row r="64" spans="1:12" x14ac:dyDescent="0.3">
      <c r="A64" t="s">
        <v>263</v>
      </c>
      <c r="B64">
        <v>163</v>
      </c>
      <c r="C64" t="s">
        <v>6025</v>
      </c>
      <c r="D64">
        <v>2</v>
      </c>
      <c r="E64">
        <v>2</v>
      </c>
      <c r="F64">
        <v>4800</v>
      </c>
      <c r="G64" t="s">
        <v>6026</v>
      </c>
      <c r="H64" t="s">
        <v>6021</v>
      </c>
      <c r="I64" t="s">
        <v>6022</v>
      </c>
      <c r="J64" t="s">
        <v>6023</v>
      </c>
      <c r="K64" t="s">
        <v>6019</v>
      </c>
      <c r="L64" s="1"/>
    </row>
    <row r="65" spans="1:12" x14ac:dyDescent="0.3">
      <c r="A65" t="s">
        <v>70</v>
      </c>
      <c r="B65">
        <v>164</v>
      </c>
      <c r="C65" t="s">
        <v>6029</v>
      </c>
      <c r="D65">
        <v>2</v>
      </c>
      <c r="E65">
        <v>4</v>
      </c>
      <c r="F65">
        <v>5700</v>
      </c>
      <c r="G65" t="s">
        <v>6015</v>
      </c>
      <c r="H65" t="s">
        <v>6027</v>
      </c>
      <c r="I65" t="s">
        <v>6017</v>
      </c>
      <c r="J65" t="s">
        <v>6018</v>
      </c>
      <c r="K65" t="s">
        <v>6024</v>
      </c>
      <c r="L65" s="1"/>
    </row>
    <row r="66" spans="1:12" x14ac:dyDescent="0.3">
      <c r="A66" t="s">
        <v>424</v>
      </c>
      <c r="B66">
        <v>165</v>
      </c>
      <c r="C66" t="s">
        <v>6029</v>
      </c>
      <c r="D66">
        <v>2</v>
      </c>
      <c r="E66">
        <v>4</v>
      </c>
      <c r="F66">
        <v>7000</v>
      </c>
      <c r="G66" t="s">
        <v>4486</v>
      </c>
      <c r="H66" t="s">
        <v>6021</v>
      </c>
      <c r="I66" t="s">
        <v>6022</v>
      </c>
      <c r="J66" t="s">
        <v>6023</v>
      </c>
      <c r="K66" t="s">
        <v>6019</v>
      </c>
      <c r="L66" s="1">
        <v>46193</v>
      </c>
    </row>
    <row r="67" spans="1:12" x14ac:dyDescent="0.3">
      <c r="A67" t="s">
        <v>168</v>
      </c>
      <c r="B67">
        <v>166</v>
      </c>
      <c r="C67" t="s">
        <v>6025</v>
      </c>
      <c r="D67">
        <v>2</v>
      </c>
      <c r="E67">
        <v>2</v>
      </c>
      <c r="F67">
        <v>4300</v>
      </c>
      <c r="G67" t="s">
        <v>6026</v>
      </c>
      <c r="H67" t="s">
        <v>6027</v>
      </c>
      <c r="I67" t="s">
        <v>6017</v>
      </c>
      <c r="J67" t="s">
        <v>6023</v>
      </c>
      <c r="K67" t="s">
        <v>6019</v>
      </c>
      <c r="L67" s="1"/>
    </row>
    <row r="68" spans="1:12" x14ac:dyDescent="0.3">
      <c r="A68" t="s">
        <v>112</v>
      </c>
      <c r="B68">
        <v>167</v>
      </c>
      <c r="C68" t="s">
        <v>6025</v>
      </c>
      <c r="D68">
        <v>2</v>
      </c>
      <c r="E68">
        <v>2</v>
      </c>
      <c r="F68">
        <v>4800</v>
      </c>
      <c r="G68" t="s">
        <v>6015</v>
      </c>
      <c r="H68" t="s">
        <v>6021</v>
      </c>
      <c r="I68" t="s">
        <v>6022</v>
      </c>
      <c r="J68" t="s">
        <v>6023</v>
      </c>
      <c r="K68" t="s">
        <v>6019</v>
      </c>
      <c r="L68" s="1"/>
    </row>
    <row r="69" spans="1:12" x14ac:dyDescent="0.3">
      <c r="A69" t="s">
        <v>594</v>
      </c>
      <c r="B69">
        <v>168</v>
      </c>
      <c r="C69" t="s">
        <v>6014</v>
      </c>
      <c r="D69">
        <v>2</v>
      </c>
      <c r="E69">
        <v>6</v>
      </c>
      <c r="F69">
        <v>6500</v>
      </c>
      <c r="G69" t="s">
        <v>6026</v>
      </c>
      <c r="H69" t="s">
        <v>6030</v>
      </c>
      <c r="I69" t="s">
        <v>6022</v>
      </c>
      <c r="J69" t="s">
        <v>6018</v>
      </c>
      <c r="K69" t="s">
        <v>6019</v>
      </c>
      <c r="L69" s="1"/>
    </row>
    <row r="70" spans="1:12" x14ac:dyDescent="0.3">
      <c r="A70" t="s">
        <v>133</v>
      </c>
      <c r="B70">
        <v>169</v>
      </c>
      <c r="C70" t="s">
        <v>6029</v>
      </c>
      <c r="D70">
        <v>2</v>
      </c>
      <c r="E70">
        <v>4</v>
      </c>
      <c r="F70">
        <v>7000</v>
      </c>
      <c r="G70" t="s">
        <v>4486</v>
      </c>
      <c r="H70" t="s">
        <v>6027</v>
      </c>
      <c r="I70" t="s">
        <v>6028</v>
      </c>
      <c r="J70" t="s">
        <v>6023</v>
      </c>
      <c r="K70" t="s">
        <v>6024</v>
      </c>
      <c r="L70" s="1">
        <v>45959</v>
      </c>
    </row>
    <row r="71" spans="1:12" x14ac:dyDescent="0.3">
      <c r="A71" t="s">
        <v>214</v>
      </c>
      <c r="B71">
        <v>170</v>
      </c>
      <c r="C71" t="s">
        <v>6025</v>
      </c>
      <c r="D71">
        <v>2</v>
      </c>
      <c r="E71">
        <v>2</v>
      </c>
      <c r="F71">
        <v>4000</v>
      </c>
      <c r="G71" t="s">
        <v>6026</v>
      </c>
      <c r="H71" t="s">
        <v>6021</v>
      </c>
      <c r="I71" t="s">
        <v>6022</v>
      </c>
      <c r="J71" t="s">
        <v>6018</v>
      </c>
      <c r="K71" t="s">
        <v>6019</v>
      </c>
      <c r="L71" s="1"/>
    </row>
    <row r="72" spans="1:12" x14ac:dyDescent="0.3">
      <c r="A72" t="s">
        <v>81</v>
      </c>
      <c r="B72">
        <v>171</v>
      </c>
      <c r="C72" t="s">
        <v>6020</v>
      </c>
      <c r="D72">
        <v>2</v>
      </c>
      <c r="E72">
        <v>3</v>
      </c>
      <c r="F72">
        <v>4200</v>
      </c>
      <c r="G72" t="s">
        <v>6026</v>
      </c>
      <c r="H72" t="s">
        <v>6027</v>
      </c>
      <c r="I72" t="s">
        <v>6017</v>
      </c>
      <c r="J72" t="s">
        <v>6018</v>
      </c>
      <c r="K72" t="s">
        <v>6024</v>
      </c>
      <c r="L72" s="1"/>
    </row>
    <row r="73" spans="1:12" x14ac:dyDescent="0.3">
      <c r="A73" t="s">
        <v>122</v>
      </c>
      <c r="B73">
        <v>172</v>
      </c>
      <c r="C73" t="s">
        <v>6029</v>
      </c>
      <c r="D73">
        <v>2</v>
      </c>
      <c r="E73">
        <v>4</v>
      </c>
      <c r="F73">
        <v>6900</v>
      </c>
      <c r="G73" t="s">
        <v>6026</v>
      </c>
      <c r="H73" t="s">
        <v>6016</v>
      </c>
      <c r="I73" t="s">
        <v>6017</v>
      </c>
      <c r="J73" t="s">
        <v>6018</v>
      </c>
      <c r="K73" t="s">
        <v>6024</v>
      </c>
      <c r="L73" s="1"/>
    </row>
    <row r="74" spans="1:12" x14ac:dyDescent="0.3">
      <c r="A74" t="s">
        <v>61</v>
      </c>
      <c r="B74">
        <v>173</v>
      </c>
      <c r="C74" t="s">
        <v>6025</v>
      </c>
      <c r="D74">
        <v>2</v>
      </c>
      <c r="E74">
        <v>2</v>
      </c>
      <c r="F74">
        <v>3500</v>
      </c>
      <c r="G74" t="s">
        <v>6026</v>
      </c>
      <c r="H74" t="s">
        <v>6030</v>
      </c>
      <c r="I74" t="s">
        <v>6022</v>
      </c>
      <c r="J74" t="s">
        <v>6018</v>
      </c>
      <c r="K74" t="s">
        <v>6024</v>
      </c>
      <c r="L74" s="1"/>
    </row>
    <row r="75" spans="1:12" x14ac:dyDescent="0.3">
      <c r="A75" t="s">
        <v>29</v>
      </c>
      <c r="B75">
        <v>174</v>
      </c>
      <c r="C75" t="s">
        <v>6025</v>
      </c>
      <c r="D75">
        <v>2</v>
      </c>
      <c r="E75">
        <v>2</v>
      </c>
      <c r="F75">
        <v>5000</v>
      </c>
      <c r="G75" t="s">
        <v>6026</v>
      </c>
      <c r="H75" t="s">
        <v>6016</v>
      </c>
      <c r="I75" t="s">
        <v>6022</v>
      </c>
      <c r="J75" t="s">
        <v>6023</v>
      </c>
      <c r="K75" t="s">
        <v>6024</v>
      </c>
      <c r="L75" s="1"/>
    </row>
    <row r="76" spans="1:12" x14ac:dyDescent="0.3">
      <c r="A76" t="s">
        <v>228</v>
      </c>
      <c r="B76">
        <v>175</v>
      </c>
      <c r="C76" t="s">
        <v>6029</v>
      </c>
      <c r="D76">
        <v>2</v>
      </c>
      <c r="E76">
        <v>4</v>
      </c>
      <c r="F76">
        <v>7200</v>
      </c>
      <c r="G76" t="s">
        <v>6015</v>
      </c>
      <c r="H76" t="s">
        <v>6016</v>
      </c>
      <c r="I76" t="s">
        <v>6022</v>
      </c>
      <c r="J76" t="s">
        <v>6023</v>
      </c>
      <c r="K76" t="s">
        <v>6024</v>
      </c>
      <c r="L76" s="1"/>
    </row>
    <row r="77" spans="1:12" x14ac:dyDescent="0.3">
      <c r="A77" t="s">
        <v>535</v>
      </c>
      <c r="B77">
        <v>176</v>
      </c>
      <c r="C77" t="s">
        <v>6029</v>
      </c>
      <c r="D77">
        <v>2</v>
      </c>
      <c r="E77">
        <v>4</v>
      </c>
      <c r="F77">
        <v>6200</v>
      </c>
      <c r="G77" t="s">
        <v>6015</v>
      </c>
      <c r="H77" t="s">
        <v>6027</v>
      </c>
      <c r="I77" t="s">
        <v>6028</v>
      </c>
      <c r="J77" t="s">
        <v>6018</v>
      </c>
      <c r="K77" t="s">
        <v>6019</v>
      </c>
      <c r="L77" s="1"/>
    </row>
    <row r="78" spans="1:12" x14ac:dyDescent="0.3">
      <c r="A78" t="s">
        <v>550</v>
      </c>
      <c r="B78">
        <v>177</v>
      </c>
      <c r="C78" t="s">
        <v>6020</v>
      </c>
      <c r="D78">
        <v>2</v>
      </c>
      <c r="E78">
        <v>3</v>
      </c>
      <c r="F78">
        <v>6000</v>
      </c>
      <c r="G78" t="s">
        <v>6015</v>
      </c>
      <c r="H78" t="s">
        <v>6030</v>
      </c>
      <c r="I78" t="s">
        <v>6028</v>
      </c>
      <c r="J78" t="s">
        <v>6023</v>
      </c>
      <c r="K78" t="s">
        <v>6019</v>
      </c>
      <c r="L78" s="1"/>
    </row>
    <row r="79" spans="1:12" x14ac:dyDescent="0.3">
      <c r="A79" t="s">
        <v>64</v>
      </c>
      <c r="B79">
        <v>178</v>
      </c>
      <c r="C79" t="s">
        <v>6025</v>
      </c>
      <c r="D79">
        <v>2</v>
      </c>
      <c r="E79">
        <v>2</v>
      </c>
      <c r="F79">
        <v>4700</v>
      </c>
      <c r="G79" t="s">
        <v>6026</v>
      </c>
      <c r="H79" t="s">
        <v>6016</v>
      </c>
      <c r="I79" t="s">
        <v>6017</v>
      </c>
      <c r="J79" t="s">
        <v>6018</v>
      </c>
      <c r="K79" t="s">
        <v>6024</v>
      </c>
      <c r="L79" s="1"/>
    </row>
    <row r="80" spans="1:12" x14ac:dyDescent="0.3">
      <c r="A80" t="s">
        <v>258</v>
      </c>
      <c r="B80">
        <v>179</v>
      </c>
      <c r="C80" t="s">
        <v>6025</v>
      </c>
      <c r="D80">
        <v>2</v>
      </c>
      <c r="E80">
        <v>2</v>
      </c>
      <c r="F80">
        <v>4700</v>
      </c>
      <c r="G80" t="s">
        <v>6026</v>
      </c>
      <c r="H80" t="s">
        <v>6016</v>
      </c>
      <c r="I80" t="s">
        <v>6017</v>
      </c>
      <c r="J80" t="s">
        <v>6018</v>
      </c>
      <c r="K80" t="s">
        <v>6019</v>
      </c>
      <c r="L80" s="1"/>
    </row>
    <row r="81" spans="1:12" x14ac:dyDescent="0.3">
      <c r="A81" t="s">
        <v>222</v>
      </c>
      <c r="B81">
        <v>180</v>
      </c>
      <c r="C81" t="s">
        <v>6020</v>
      </c>
      <c r="D81">
        <v>2</v>
      </c>
      <c r="E81">
        <v>3</v>
      </c>
      <c r="F81">
        <v>5200</v>
      </c>
      <c r="G81" t="s">
        <v>6026</v>
      </c>
      <c r="H81" t="s">
        <v>6030</v>
      </c>
      <c r="I81" t="s">
        <v>6028</v>
      </c>
      <c r="J81" t="s">
        <v>6018</v>
      </c>
      <c r="K81" t="s">
        <v>6019</v>
      </c>
      <c r="L81" s="1"/>
    </row>
    <row r="82" spans="1:12" x14ac:dyDescent="0.3">
      <c r="A82" t="s">
        <v>162</v>
      </c>
      <c r="B82">
        <v>181</v>
      </c>
      <c r="C82" t="s">
        <v>6014</v>
      </c>
      <c r="D82">
        <v>2</v>
      </c>
      <c r="E82">
        <v>6</v>
      </c>
      <c r="F82">
        <v>8300</v>
      </c>
      <c r="G82" t="s">
        <v>6026</v>
      </c>
      <c r="H82" t="s">
        <v>6030</v>
      </c>
      <c r="I82" t="s">
        <v>6028</v>
      </c>
      <c r="J82" t="s">
        <v>6023</v>
      </c>
      <c r="K82" t="s">
        <v>6024</v>
      </c>
      <c r="L82" s="1"/>
    </row>
    <row r="83" spans="1:12" x14ac:dyDescent="0.3">
      <c r="A83" t="s">
        <v>477</v>
      </c>
      <c r="B83">
        <v>182</v>
      </c>
      <c r="C83" t="s">
        <v>6014</v>
      </c>
      <c r="D83">
        <v>2</v>
      </c>
      <c r="E83">
        <v>6</v>
      </c>
      <c r="F83">
        <v>8000</v>
      </c>
      <c r="G83" t="s">
        <v>6015</v>
      </c>
      <c r="H83" t="s">
        <v>6021</v>
      </c>
      <c r="I83" t="s">
        <v>6028</v>
      </c>
      <c r="J83" t="s">
        <v>6018</v>
      </c>
      <c r="K83" t="s">
        <v>6024</v>
      </c>
      <c r="L83" s="1"/>
    </row>
    <row r="84" spans="1:12" x14ac:dyDescent="0.3">
      <c r="A84" t="s">
        <v>143</v>
      </c>
      <c r="B84">
        <v>183</v>
      </c>
      <c r="C84" t="s">
        <v>6020</v>
      </c>
      <c r="D84">
        <v>2</v>
      </c>
      <c r="E84">
        <v>3</v>
      </c>
      <c r="F84">
        <v>5400</v>
      </c>
      <c r="G84" t="s">
        <v>4486</v>
      </c>
      <c r="H84" t="s">
        <v>6016</v>
      </c>
      <c r="I84" t="s">
        <v>6017</v>
      </c>
      <c r="J84" t="s">
        <v>6018</v>
      </c>
      <c r="K84" t="s">
        <v>6024</v>
      </c>
      <c r="L84" s="1">
        <v>45923</v>
      </c>
    </row>
    <row r="85" spans="1:12" x14ac:dyDescent="0.3">
      <c r="A85" t="s">
        <v>185</v>
      </c>
      <c r="B85">
        <v>184</v>
      </c>
      <c r="C85" t="s">
        <v>6020</v>
      </c>
      <c r="D85">
        <v>2</v>
      </c>
      <c r="E85">
        <v>3</v>
      </c>
      <c r="F85">
        <v>5700</v>
      </c>
      <c r="G85" t="s">
        <v>6015</v>
      </c>
      <c r="H85" t="s">
        <v>6021</v>
      </c>
      <c r="I85" t="s">
        <v>6028</v>
      </c>
      <c r="J85" t="s">
        <v>6018</v>
      </c>
      <c r="K85" t="s">
        <v>6024</v>
      </c>
      <c r="L8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9B3D-7081-4166-AB13-1FC8A5F5C364}">
  <dimension ref="A1:K751"/>
  <sheetViews>
    <sheetView workbookViewId="0">
      <selection activeCell="L11" sqref="L11"/>
    </sheetView>
  </sheetViews>
  <sheetFormatPr defaultRowHeight="14.4" x14ac:dyDescent="0.3"/>
  <cols>
    <col min="1" max="1" width="12.33203125" bestFit="1" customWidth="1"/>
    <col min="2" max="2" width="9.5546875" bestFit="1" customWidth="1"/>
    <col min="3" max="3" width="10.5546875" bestFit="1" customWidth="1"/>
    <col min="4" max="4" width="9.5546875" bestFit="1" customWidth="1"/>
    <col min="5" max="5" width="14.44140625" bestFit="1" customWidth="1"/>
    <col min="6" max="6" width="14.6640625" bestFit="1" customWidth="1"/>
    <col min="7" max="7" width="15.88671875" bestFit="1" customWidth="1"/>
    <col min="8" max="8" width="14.77734375" bestFit="1" customWidth="1"/>
    <col min="9" max="9" width="16" bestFit="1" customWidth="1"/>
    <col min="10" max="10" width="11.6640625" bestFit="1" customWidth="1"/>
    <col min="11" max="12" width="14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6175</v>
      </c>
      <c r="I1" t="s">
        <v>7</v>
      </c>
      <c r="J1" t="s">
        <v>6190</v>
      </c>
      <c r="K1" t="s">
        <v>6179</v>
      </c>
    </row>
    <row r="2" spans="1:11" x14ac:dyDescent="0.3">
      <c r="A2" t="s">
        <v>8</v>
      </c>
      <c r="B2" t="s">
        <v>1689</v>
      </c>
      <c r="C2" t="s">
        <v>32</v>
      </c>
      <c r="D2" t="s">
        <v>95</v>
      </c>
      <c r="E2" s="1">
        <v>46083</v>
      </c>
      <c r="F2" s="1">
        <v>46130</v>
      </c>
      <c r="G2" s="1">
        <v>46135</v>
      </c>
      <c r="H2">
        <v>7000</v>
      </c>
      <c r="I2" t="s">
        <v>38</v>
      </c>
      <c r="J2">
        <v>5</v>
      </c>
      <c r="K2">
        <v>35000</v>
      </c>
    </row>
    <row r="3" spans="1:11" x14ac:dyDescent="0.3">
      <c r="A3" t="s">
        <v>13</v>
      </c>
      <c r="B3" t="s">
        <v>1893</v>
      </c>
      <c r="C3" t="s">
        <v>81</v>
      </c>
      <c r="D3" t="s">
        <v>11</v>
      </c>
      <c r="E3" s="1">
        <v>46101</v>
      </c>
      <c r="F3" s="1">
        <v>46117</v>
      </c>
      <c r="G3" s="1"/>
      <c r="H3">
        <v>4200</v>
      </c>
      <c r="I3" t="s">
        <v>12</v>
      </c>
      <c r="J3">
        <v>6</v>
      </c>
      <c r="K3">
        <v>25200</v>
      </c>
    </row>
    <row r="4" spans="1:11" x14ac:dyDescent="0.3">
      <c r="A4" t="s">
        <v>16</v>
      </c>
      <c r="B4" t="s">
        <v>2396</v>
      </c>
      <c r="C4" t="s">
        <v>165</v>
      </c>
      <c r="D4" t="s">
        <v>95</v>
      </c>
      <c r="E4" s="1">
        <v>46169</v>
      </c>
      <c r="F4" s="1">
        <v>46170</v>
      </c>
      <c r="G4" s="1">
        <v>46171</v>
      </c>
      <c r="H4">
        <v>5200</v>
      </c>
      <c r="I4" t="s">
        <v>38</v>
      </c>
      <c r="J4">
        <v>1</v>
      </c>
      <c r="K4">
        <v>5200</v>
      </c>
    </row>
    <row r="5" spans="1:11" x14ac:dyDescent="0.3">
      <c r="A5" t="s">
        <v>20</v>
      </c>
      <c r="B5" t="s">
        <v>2972</v>
      </c>
      <c r="C5" t="s">
        <v>338</v>
      </c>
      <c r="D5" t="s">
        <v>95</v>
      </c>
      <c r="E5" s="1">
        <v>46136</v>
      </c>
      <c r="F5" s="1">
        <v>46137</v>
      </c>
      <c r="G5" s="1"/>
      <c r="H5">
        <v>7700</v>
      </c>
      <c r="I5" t="s">
        <v>49</v>
      </c>
      <c r="J5">
        <v>7</v>
      </c>
      <c r="K5">
        <v>53900</v>
      </c>
    </row>
    <row r="6" spans="1:11" x14ac:dyDescent="0.3">
      <c r="A6" t="s">
        <v>23</v>
      </c>
      <c r="B6" t="s">
        <v>859</v>
      </c>
      <c r="C6" t="s">
        <v>67</v>
      </c>
      <c r="D6" t="s">
        <v>223</v>
      </c>
      <c r="E6" s="1">
        <v>46158</v>
      </c>
      <c r="F6" s="1">
        <v>46218</v>
      </c>
      <c r="G6" s="1">
        <v>46221</v>
      </c>
      <c r="H6">
        <v>9000</v>
      </c>
      <c r="I6" t="s">
        <v>38</v>
      </c>
      <c r="J6">
        <v>3</v>
      </c>
      <c r="K6">
        <v>27000</v>
      </c>
    </row>
    <row r="7" spans="1:11" x14ac:dyDescent="0.3">
      <c r="A7" t="s">
        <v>27</v>
      </c>
      <c r="B7" t="s">
        <v>4331</v>
      </c>
      <c r="C7" t="s">
        <v>119</v>
      </c>
      <c r="D7" t="s">
        <v>33</v>
      </c>
      <c r="E7" s="1">
        <v>46170</v>
      </c>
      <c r="F7" s="1">
        <v>46223</v>
      </c>
      <c r="G7" s="1"/>
      <c r="H7">
        <v>4700</v>
      </c>
      <c r="I7" t="s">
        <v>12</v>
      </c>
      <c r="J7">
        <v>1</v>
      </c>
      <c r="K7">
        <v>4700</v>
      </c>
    </row>
    <row r="8" spans="1:11" x14ac:dyDescent="0.3">
      <c r="A8" t="s">
        <v>30</v>
      </c>
      <c r="B8" t="s">
        <v>2279</v>
      </c>
      <c r="C8" t="s">
        <v>175</v>
      </c>
      <c r="D8" t="s">
        <v>11</v>
      </c>
      <c r="E8" s="1">
        <v>46062</v>
      </c>
      <c r="F8" s="1">
        <v>46089</v>
      </c>
      <c r="G8" s="1"/>
      <c r="H8">
        <v>6200</v>
      </c>
      <c r="I8" t="s">
        <v>12</v>
      </c>
      <c r="J8">
        <v>5</v>
      </c>
      <c r="K8">
        <v>31000</v>
      </c>
    </row>
    <row r="9" spans="1:11" x14ac:dyDescent="0.3">
      <c r="A9" t="s">
        <v>34</v>
      </c>
      <c r="B9" t="s">
        <v>4235</v>
      </c>
      <c r="C9" t="s">
        <v>258</v>
      </c>
      <c r="D9" t="s">
        <v>26</v>
      </c>
      <c r="E9" s="1">
        <v>46068</v>
      </c>
      <c r="F9" s="1">
        <v>46082</v>
      </c>
      <c r="G9" s="1"/>
      <c r="H9">
        <v>4700</v>
      </c>
      <c r="I9" t="s">
        <v>12</v>
      </c>
      <c r="J9">
        <v>3</v>
      </c>
      <c r="K9">
        <v>14100</v>
      </c>
    </row>
    <row r="10" spans="1:11" x14ac:dyDescent="0.3">
      <c r="A10" t="s">
        <v>39</v>
      </c>
      <c r="B10" t="s">
        <v>260</v>
      </c>
      <c r="C10" t="s">
        <v>343</v>
      </c>
      <c r="D10" t="s">
        <v>19</v>
      </c>
      <c r="E10" s="1">
        <v>46077</v>
      </c>
      <c r="F10" s="1">
        <v>46158</v>
      </c>
      <c r="G10" s="1"/>
      <c r="H10">
        <v>7000</v>
      </c>
      <c r="I10" t="s">
        <v>12</v>
      </c>
      <c r="J10">
        <v>4</v>
      </c>
      <c r="K10">
        <v>28000</v>
      </c>
    </row>
    <row r="11" spans="1:11" x14ac:dyDescent="0.3">
      <c r="A11" t="s">
        <v>43</v>
      </c>
      <c r="B11" t="s">
        <v>2786</v>
      </c>
      <c r="C11" t="s">
        <v>182</v>
      </c>
      <c r="D11" t="s">
        <v>33</v>
      </c>
      <c r="E11" s="1">
        <v>46129</v>
      </c>
      <c r="F11" s="1">
        <v>46149</v>
      </c>
      <c r="G11" s="1"/>
      <c r="H11">
        <v>7000</v>
      </c>
      <c r="I11" t="s">
        <v>12</v>
      </c>
      <c r="J11">
        <v>3</v>
      </c>
      <c r="K11">
        <v>21000</v>
      </c>
    </row>
    <row r="12" spans="1:11" x14ac:dyDescent="0.3">
      <c r="A12" t="s">
        <v>46</v>
      </c>
      <c r="B12" t="s">
        <v>3437</v>
      </c>
      <c r="C12" t="s">
        <v>240</v>
      </c>
      <c r="D12" t="s">
        <v>11</v>
      </c>
      <c r="E12" s="1">
        <v>46146</v>
      </c>
      <c r="F12" s="1">
        <v>46198</v>
      </c>
      <c r="G12" s="1"/>
      <c r="H12">
        <v>5400</v>
      </c>
      <c r="I12" t="s">
        <v>12</v>
      </c>
      <c r="J12">
        <v>5</v>
      </c>
      <c r="K12">
        <v>27000</v>
      </c>
    </row>
    <row r="13" spans="1:11" x14ac:dyDescent="0.3">
      <c r="A13" t="s">
        <v>50</v>
      </c>
      <c r="B13" t="s">
        <v>4089</v>
      </c>
      <c r="C13" t="s">
        <v>219</v>
      </c>
      <c r="D13" t="s">
        <v>37</v>
      </c>
      <c r="E13" s="1">
        <v>46184</v>
      </c>
      <c r="F13" s="1">
        <v>46241</v>
      </c>
      <c r="G13" s="1">
        <v>46248</v>
      </c>
      <c r="H13">
        <v>4700</v>
      </c>
      <c r="I13" t="s">
        <v>38</v>
      </c>
      <c r="J13">
        <v>7</v>
      </c>
      <c r="K13">
        <v>32900</v>
      </c>
    </row>
    <row r="14" spans="1:11" x14ac:dyDescent="0.3">
      <c r="A14" t="s">
        <v>52</v>
      </c>
      <c r="B14" t="s">
        <v>2672</v>
      </c>
      <c r="C14" t="s">
        <v>214</v>
      </c>
      <c r="D14" t="s">
        <v>26</v>
      </c>
      <c r="E14" s="1">
        <v>46100</v>
      </c>
      <c r="F14" s="1">
        <v>46167</v>
      </c>
      <c r="G14" s="1"/>
      <c r="H14">
        <v>4000</v>
      </c>
      <c r="I14" t="s">
        <v>12</v>
      </c>
      <c r="J14">
        <v>7</v>
      </c>
      <c r="K14">
        <v>28000</v>
      </c>
    </row>
    <row r="15" spans="1:11" x14ac:dyDescent="0.3">
      <c r="A15" t="s">
        <v>55</v>
      </c>
      <c r="B15" t="s">
        <v>2719</v>
      </c>
      <c r="C15" t="s">
        <v>499</v>
      </c>
      <c r="D15" t="s">
        <v>223</v>
      </c>
      <c r="E15" s="1">
        <v>46170</v>
      </c>
      <c r="F15" s="1">
        <v>46206</v>
      </c>
      <c r="G15" s="1">
        <v>46208</v>
      </c>
      <c r="H15">
        <v>7700</v>
      </c>
      <c r="I15" t="s">
        <v>38</v>
      </c>
      <c r="J15">
        <v>2</v>
      </c>
      <c r="K15">
        <v>15400</v>
      </c>
    </row>
    <row r="16" spans="1:11" x14ac:dyDescent="0.3">
      <c r="A16" t="s">
        <v>59</v>
      </c>
      <c r="B16" t="s">
        <v>3474</v>
      </c>
      <c r="C16" t="s">
        <v>294</v>
      </c>
      <c r="D16" t="s">
        <v>19</v>
      </c>
      <c r="E16" s="1">
        <v>46140</v>
      </c>
      <c r="F16" s="1">
        <v>46159</v>
      </c>
      <c r="G16" s="1"/>
      <c r="H16">
        <v>6400</v>
      </c>
      <c r="I16" t="s">
        <v>12</v>
      </c>
      <c r="J16">
        <v>3</v>
      </c>
      <c r="K16">
        <v>19200</v>
      </c>
    </row>
    <row r="17" spans="1:11" x14ac:dyDescent="0.3">
      <c r="A17" t="s">
        <v>62</v>
      </c>
      <c r="B17" t="s">
        <v>2916</v>
      </c>
      <c r="C17" t="s">
        <v>130</v>
      </c>
      <c r="D17" t="s">
        <v>11</v>
      </c>
      <c r="E17" s="1">
        <v>46151</v>
      </c>
      <c r="F17" s="1">
        <v>46191</v>
      </c>
      <c r="G17" s="1"/>
      <c r="H17">
        <v>6400</v>
      </c>
      <c r="I17" t="s">
        <v>12</v>
      </c>
      <c r="J17">
        <v>5</v>
      </c>
      <c r="K17">
        <v>32000</v>
      </c>
    </row>
    <row r="18" spans="1:11" x14ac:dyDescent="0.3">
      <c r="A18" t="s">
        <v>65</v>
      </c>
      <c r="B18" t="s">
        <v>3142</v>
      </c>
      <c r="C18" t="s">
        <v>41</v>
      </c>
      <c r="D18" t="s">
        <v>237</v>
      </c>
      <c r="E18" s="1">
        <v>46045</v>
      </c>
      <c r="F18" s="1">
        <v>46055</v>
      </c>
      <c r="G18" s="1">
        <v>46060</v>
      </c>
      <c r="H18">
        <v>5500</v>
      </c>
      <c r="I18" t="s">
        <v>38</v>
      </c>
      <c r="J18">
        <v>5</v>
      </c>
      <c r="K18">
        <v>27500</v>
      </c>
    </row>
    <row r="19" spans="1:11" x14ac:dyDescent="0.3">
      <c r="A19" t="s">
        <v>68</v>
      </c>
      <c r="B19" t="s">
        <v>411</v>
      </c>
      <c r="C19" t="s">
        <v>270</v>
      </c>
      <c r="D19" t="s">
        <v>26</v>
      </c>
      <c r="E19" s="1">
        <v>46119</v>
      </c>
      <c r="F19" s="1">
        <v>46152</v>
      </c>
      <c r="G19" s="1"/>
      <c r="H19">
        <v>4000</v>
      </c>
      <c r="I19" t="s">
        <v>12</v>
      </c>
      <c r="J19">
        <v>1</v>
      </c>
      <c r="K19">
        <v>4000</v>
      </c>
    </row>
    <row r="20" spans="1:11" x14ac:dyDescent="0.3">
      <c r="A20" t="s">
        <v>71</v>
      </c>
      <c r="B20" t="s">
        <v>454</v>
      </c>
      <c r="C20" t="s">
        <v>67</v>
      </c>
      <c r="D20" t="s">
        <v>19</v>
      </c>
      <c r="E20" s="1">
        <v>46197</v>
      </c>
      <c r="F20" s="1">
        <v>46226</v>
      </c>
      <c r="G20" s="1"/>
      <c r="H20">
        <v>9000</v>
      </c>
      <c r="I20" t="s">
        <v>12</v>
      </c>
      <c r="J20">
        <v>3</v>
      </c>
      <c r="K20">
        <v>27000</v>
      </c>
    </row>
    <row r="21" spans="1:11" x14ac:dyDescent="0.3">
      <c r="A21" t="s">
        <v>74</v>
      </c>
      <c r="B21" t="s">
        <v>3318</v>
      </c>
      <c r="C21" t="s">
        <v>70</v>
      </c>
      <c r="D21" t="s">
        <v>95</v>
      </c>
      <c r="E21" s="1">
        <v>46084</v>
      </c>
      <c r="F21" s="1">
        <v>46144</v>
      </c>
      <c r="G21" s="1">
        <v>46146</v>
      </c>
      <c r="H21">
        <v>5700</v>
      </c>
      <c r="I21" t="s">
        <v>38</v>
      </c>
      <c r="J21">
        <v>2</v>
      </c>
      <c r="K21">
        <v>11400</v>
      </c>
    </row>
    <row r="22" spans="1:11" x14ac:dyDescent="0.3">
      <c r="A22" t="s">
        <v>77</v>
      </c>
      <c r="B22" t="s">
        <v>2674</v>
      </c>
      <c r="C22" t="s">
        <v>119</v>
      </c>
      <c r="D22" t="s">
        <v>26</v>
      </c>
      <c r="E22" s="1">
        <v>46198</v>
      </c>
      <c r="F22" s="1"/>
      <c r="G22" s="1"/>
      <c r="H22">
        <v>4700</v>
      </c>
      <c r="I22" t="s">
        <v>76</v>
      </c>
      <c r="J22">
        <v>0</v>
      </c>
      <c r="K22">
        <v>0</v>
      </c>
    </row>
    <row r="23" spans="1:11" x14ac:dyDescent="0.3">
      <c r="A23" t="s">
        <v>79</v>
      </c>
      <c r="B23" t="s">
        <v>496</v>
      </c>
      <c r="C23" t="s">
        <v>125</v>
      </c>
      <c r="D23" t="s">
        <v>11</v>
      </c>
      <c r="E23" s="1">
        <v>46074</v>
      </c>
      <c r="F23" s="1">
        <v>46145</v>
      </c>
      <c r="G23" s="1"/>
      <c r="H23">
        <v>4800</v>
      </c>
      <c r="I23" t="s">
        <v>12</v>
      </c>
      <c r="J23">
        <v>4</v>
      </c>
      <c r="K23">
        <v>19200</v>
      </c>
    </row>
    <row r="24" spans="1:11" x14ac:dyDescent="0.3">
      <c r="A24" t="s">
        <v>82</v>
      </c>
      <c r="B24" t="s">
        <v>1060</v>
      </c>
      <c r="C24" t="s">
        <v>57</v>
      </c>
      <c r="D24" t="s">
        <v>26</v>
      </c>
      <c r="E24" s="1">
        <v>46027</v>
      </c>
      <c r="F24" s="1">
        <v>46054</v>
      </c>
      <c r="G24" s="1"/>
      <c r="H24">
        <v>7700</v>
      </c>
      <c r="I24" t="s">
        <v>12</v>
      </c>
      <c r="J24">
        <v>4</v>
      </c>
      <c r="K24">
        <v>30800</v>
      </c>
    </row>
    <row r="25" spans="1:11" x14ac:dyDescent="0.3">
      <c r="A25" t="s">
        <v>85</v>
      </c>
      <c r="B25" t="s">
        <v>1617</v>
      </c>
      <c r="C25" t="s">
        <v>73</v>
      </c>
      <c r="D25" t="s">
        <v>37</v>
      </c>
      <c r="E25" s="1">
        <v>46084</v>
      </c>
      <c r="F25" s="1">
        <v>46144</v>
      </c>
      <c r="G25" s="1">
        <v>46148</v>
      </c>
      <c r="H25">
        <v>7800</v>
      </c>
      <c r="I25" t="s">
        <v>38</v>
      </c>
      <c r="J25">
        <v>4</v>
      </c>
      <c r="K25">
        <v>31200</v>
      </c>
    </row>
    <row r="26" spans="1:11" x14ac:dyDescent="0.3">
      <c r="A26" t="s">
        <v>88</v>
      </c>
      <c r="B26" t="s">
        <v>2616</v>
      </c>
      <c r="C26" t="s">
        <v>185</v>
      </c>
      <c r="D26" t="s">
        <v>223</v>
      </c>
      <c r="E26" s="1">
        <v>46028</v>
      </c>
      <c r="F26" s="1">
        <v>46080</v>
      </c>
      <c r="G26" s="1">
        <v>46084</v>
      </c>
      <c r="H26">
        <v>5700</v>
      </c>
      <c r="I26" t="s">
        <v>38</v>
      </c>
      <c r="J26">
        <v>4</v>
      </c>
      <c r="K26">
        <v>22800</v>
      </c>
    </row>
    <row r="27" spans="1:11" x14ac:dyDescent="0.3">
      <c r="A27" t="s">
        <v>90</v>
      </c>
      <c r="B27" t="s">
        <v>1310</v>
      </c>
      <c r="C27" t="s">
        <v>276</v>
      </c>
      <c r="D27" t="s">
        <v>95</v>
      </c>
      <c r="E27" s="1">
        <v>46147</v>
      </c>
      <c r="F27" s="1">
        <v>46148</v>
      </c>
      <c r="G27" s="1"/>
      <c r="H27">
        <v>5000</v>
      </c>
      <c r="I27" t="s">
        <v>49</v>
      </c>
      <c r="J27">
        <v>1</v>
      </c>
      <c r="K27">
        <v>5000</v>
      </c>
    </row>
    <row r="28" spans="1:11" x14ac:dyDescent="0.3">
      <c r="A28" t="s">
        <v>93</v>
      </c>
      <c r="B28" t="s">
        <v>3911</v>
      </c>
      <c r="C28" t="s">
        <v>36</v>
      </c>
      <c r="D28" t="s">
        <v>223</v>
      </c>
      <c r="E28" s="1">
        <v>46025</v>
      </c>
      <c r="F28" s="1">
        <v>46084</v>
      </c>
      <c r="G28" s="1">
        <v>46090</v>
      </c>
      <c r="H28">
        <v>7000</v>
      </c>
      <c r="I28" t="s">
        <v>38</v>
      </c>
      <c r="J28">
        <v>6</v>
      </c>
      <c r="K28">
        <v>42000</v>
      </c>
    </row>
    <row r="29" spans="1:11" x14ac:dyDescent="0.3">
      <c r="A29" t="s">
        <v>96</v>
      </c>
      <c r="B29" t="s">
        <v>3534</v>
      </c>
      <c r="C29" t="s">
        <v>29</v>
      </c>
      <c r="D29" t="s">
        <v>11</v>
      </c>
      <c r="E29" s="1">
        <v>46097</v>
      </c>
      <c r="F29" s="1">
        <v>46124</v>
      </c>
      <c r="G29" s="1"/>
      <c r="H29">
        <v>5000</v>
      </c>
      <c r="I29" t="s">
        <v>12</v>
      </c>
      <c r="J29">
        <v>2</v>
      </c>
      <c r="K29">
        <v>10000</v>
      </c>
    </row>
    <row r="30" spans="1:11" x14ac:dyDescent="0.3">
      <c r="A30" t="s">
        <v>99</v>
      </c>
      <c r="B30" t="s">
        <v>4452</v>
      </c>
      <c r="C30" t="s">
        <v>583</v>
      </c>
      <c r="D30" t="s">
        <v>26</v>
      </c>
      <c r="E30" s="1">
        <v>46143</v>
      </c>
      <c r="F30" s="1">
        <v>46179</v>
      </c>
      <c r="G30" s="1"/>
      <c r="H30">
        <v>5500</v>
      </c>
      <c r="I30" t="s">
        <v>12</v>
      </c>
      <c r="J30">
        <v>5</v>
      </c>
      <c r="K30">
        <v>27500</v>
      </c>
    </row>
    <row r="31" spans="1:11" x14ac:dyDescent="0.3">
      <c r="A31" t="s">
        <v>101</v>
      </c>
      <c r="B31" t="s">
        <v>857</v>
      </c>
      <c r="C31" t="s">
        <v>41</v>
      </c>
      <c r="D31" t="s">
        <v>37</v>
      </c>
      <c r="E31" s="1">
        <v>46104</v>
      </c>
      <c r="F31" s="1">
        <v>46132</v>
      </c>
      <c r="G31" s="1">
        <v>46135</v>
      </c>
      <c r="H31">
        <v>5500</v>
      </c>
      <c r="I31" t="s">
        <v>38</v>
      </c>
      <c r="J31">
        <v>3</v>
      </c>
      <c r="K31">
        <v>16500</v>
      </c>
    </row>
    <row r="32" spans="1:11" x14ac:dyDescent="0.3">
      <c r="A32" t="s">
        <v>104</v>
      </c>
      <c r="B32" t="s">
        <v>713</v>
      </c>
      <c r="C32" t="s">
        <v>64</v>
      </c>
      <c r="D32" t="s">
        <v>19</v>
      </c>
      <c r="E32" s="1">
        <v>46060</v>
      </c>
      <c r="F32" s="1">
        <v>46123</v>
      </c>
      <c r="G32" s="1"/>
      <c r="H32">
        <v>4700</v>
      </c>
      <c r="I32" t="s">
        <v>12</v>
      </c>
      <c r="J32">
        <v>4</v>
      </c>
      <c r="K32">
        <v>18800</v>
      </c>
    </row>
    <row r="33" spans="1:11" x14ac:dyDescent="0.3">
      <c r="A33" t="s">
        <v>107</v>
      </c>
      <c r="B33" t="s">
        <v>855</v>
      </c>
      <c r="C33" t="s">
        <v>279</v>
      </c>
      <c r="D33" t="s">
        <v>48</v>
      </c>
      <c r="E33" s="1">
        <v>46107</v>
      </c>
      <c r="F33" s="1">
        <v>46107</v>
      </c>
      <c r="G33" s="1"/>
      <c r="H33">
        <v>4700</v>
      </c>
      <c r="I33" t="s">
        <v>49</v>
      </c>
      <c r="J33">
        <v>5</v>
      </c>
      <c r="K33">
        <v>23500</v>
      </c>
    </row>
    <row r="34" spans="1:11" x14ac:dyDescent="0.3">
      <c r="A34" t="s">
        <v>110</v>
      </c>
      <c r="B34" t="s">
        <v>4273</v>
      </c>
      <c r="C34" t="s">
        <v>228</v>
      </c>
      <c r="D34" t="s">
        <v>48</v>
      </c>
      <c r="E34" s="1">
        <v>46077</v>
      </c>
      <c r="F34" s="1">
        <v>46078</v>
      </c>
      <c r="G34" s="1"/>
      <c r="H34">
        <v>7200</v>
      </c>
      <c r="I34" t="s">
        <v>49</v>
      </c>
      <c r="J34">
        <v>1</v>
      </c>
      <c r="K34">
        <v>7200</v>
      </c>
    </row>
    <row r="35" spans="1:11" x14ac:dyDescent="0.3">
      <c r="A35" t="s">
        <v>113</v>
      </c>
      <c r="B35" t="s">
        <v>1939</v>
      </c>
      <c r="C35" t="s">
        <v>335</v>
      </c>
      <c r="D35" t="s">
        <v>37</v>
      </c>
      <c r="E35" s="1">
        <v>46108</v>
      </c>
      <c r="F35" s="1">
        <v>46109</v>
      </c>
      <c r="G35" s="1"/>
      <c r="H35">
        <v>6500</v>
      </c>
      <c r="I35" t="s">
        <v>49</v>
      </c>
      <c r="J35">
        <v>6</v>
      </c>
      <c r="K35">
        <v>39000</v>
      </c>
    </row>
    <row r="36" spans="1:11" x14ac:dyDescent="0.3">
      <c r="A36" t="s">
        <v>115</v>
      </c>
      <c r="B36" t="s">
        <v>4214</v>
      </c>
      <c r="C36" t="s">
        <v>112</v>
      </c>
      <c r="D36" t="s">
        <v>48</v>
      </c>
      <c r="E36" s="1">
        <v>46094</v>
      </c>
      <c r="F36" s="1">
        <v>46110</v>
      </c>
      <c r="G36" s="1">
        <v>46116</v>
      </c>
      <c r="H36">
        <v>4800</v>
      </c>
      <c r="I36" t="s">
        <v>38</v>
      </c>
      <c r="J36">
        <v>6</v>
      </c>
      <c r="K36">
        <v>28800</v>
      </c>
    </row>
    <row r="37" spans="1:11" x14ac:dyDescent="0.3">
      <c r="A37" t="s">
        <v>117</v>
      </c>
      <c r="B37" t="s">
        <v>1284</v>
      </c>
      <c r="C37" t="s">
        <v>255</v>
      </c>
      <c r="D37" t="s">
        <v>19</v>
      </c>
      <c r="E37" s="1">
        <v>46178</v>
      </c>
      <c r="F37" s="1">
        <v>46215</v>
      </c>
      <c r="G37" s="1"/>
      <c r="H37">
        <v>4200</v>
      </c>
      <c r="I37" t="s">
        <v>12</v>
      </c>
      <c r="J37">
        <v>5</v>
      </c>
      <c r="K37">
        <v>21000</v>
      </c>
    </row>
    <row r="38" spans="1:11" x14ac:dyDescent="0.3">
      <c r="A38" t="s">
        <v>120</v>
      </c>
      <c r="B38" t="s">
        <v>3350</v>
      </c>
      <c r="C38" t="s">
        <v>32</v>
      </c>
      <c r="D38" t="s">
        <v>42</v>
      </c>
      <c r="E38" s="1">
        <v>46193</v>
      </c>
      <c r="F38" s="1">
        <v>46212</v>
      </c>
      <c r="G38" s="1">
        <v>46216</v>
      </c>
      <c r="H38">
        <v>7000</v>
      </c>
      <c r="I38" t="s">
        <v>38</v>
      </c>
      <c r="J38">
        <v>4</v>
      </c>
      <c r="K38">
        <v>28000</v>
      </c>
    </row>
    <row r="39" spans="1:11" x14ac:dyDescent="0.3">
      <c r="A39" t="s">
        <v>123</v>
      </c>
      <c r="B39" t="s">
        <v>2410</v>
      </c>
      <c r="C39" t="s">
        <v>98</v>
      </c>
      <c r="D39" t="s">
        <v>11</v>
      </c>
      <c r="E39" s="1">
        <v>46086</v>
      </c>
      <c r="F39" s="1">
        <v>46176</v>
      </c>
      <c r="G39" s="1"/>
      <c r="H39">
        <v>6700</v>
      </c>
      <c r="I39" t="s">
        <v>12</v>
      </c>
      <c r="J39">
        <v>4</v>
      </c>
      <c r="K39">
        <v>26800</v>
      </c>
    </row>
    <row r="40" spans="1:11" x14ac:dyDescent="0.3">
      <c r="A40" t="s">
        <v>126</v>
      </c>
      <c r="B40" t="s">
        <v>349</v>
      </c>
      <c r="C40" t="s">
        <v>149</v>
      </c>
      <c r="D40" t="s">
        <v>223</v>
      </c>
      <c r="E40" s="1">
        <v>46140</v>
      </c>
      <c r="F40" s="1">
        <v>46182</v>
      </c>
      <c r="G40" s="1">
        <v>46183</v>
      </c>
      <c r="H40">
        <v>6000</v>
      </c>
      <c r="I40" t="s">
        <v>38</v>
      </c>
      <c r="J40">
        <v>1</v>
      </c>
      <c r="K40">
        <v>6000</v>
      </c>
    </row>
    <row r="41" spans="1:11" x14ac:dyDescent="0.3">
      <c r="A41" t="s">
        <v>6031</v>
      </c>
      <c r="B41" t="s">
        <v>4296</v>
      </c>
      <c r="C41" t="s">
        <v>103</v>
      </c>
      <c r="D41" t="s">
        <v>58</v>
      </c>
      <c r="E41" s="1">
        <v>46040</v>
      </c>
      <c r="F41" s="1">
        <v>46041</v>
      </c>
      <c r="G41" s="1"/>
      <c r="H41">
        <v>7000</v>
      </c>
      <c r="I41" t="s">
        <v>49</v>
      </c>
      <c r="J41">
        <v>2</v>
      </c>
      <c r="K41">
        <v>14000</v>
      </c>
    </row>
    <row r="42" spans="1:11" x14ac:dyDescent="0.3">
      <c r="A42" t="s">
        <v>128</v>
      </c>
      <c r="B42" t="s">
        <v>2329</v>
      </c>
      <c r="C42" t="s">
        <v>119</v>
      </c>
      <c r="D42" t="s">
        <v>37</v>
      </c>
      <c r="E42" s="1">
        <v>46072</v>
      </c>
      <c r="F42" s="1">
        <v>46087</v>
      </c>
      <c r="G42" s="1">
        <v>46093</v>
      </c>
      <c r="H42">
        <v>4700</v>
      </c>
      <c r="I42" t="s">
        <v>38</v>
      </c>
      <c r="J42">
        <v>6</v>
      </c>
      <c r="K42">
        <v>28200</v>
      </c>
    </row>
    <row r="43" spans="1:11" x14ac:dyDescent="0.3">
      <c r="A43" t="s">
        <v>131</v>
      </c>
      <c r="B43" t="s">
        <v>1349</v>
      </c>
      <c r="C43" t="s">
        <v>92</v>
      </c>
      <c r="D43" t="s">
        <v>42</v>
      </c>
      <c r="E43" s="1">
        <v>46155</v>
      </c>
      <c r="F43" s="1">
        <v>46185</v>
      </c>
      <c r="G43" s="1">
        <v>46188</v>
      </c>
      <c r="H43">
        <v>4200</v>
      </c>
      <c r="I43" t="s">
        <v>38</v>
      </c>
      <c r="J43">
        <v>3</v>
      </c>
      <c r="K43">
        <v>12600</v>
      </c>
    </row>
    <row r="44" spans="1:11" x14ac:dyDescent="0.3">
      <c r="A44" t="s">
        <v>134</v>
      </c>
      <c r="B44" t="s">
        <v>910</v>
      </c>
      <c r="C44" t="s">
        <v>583</v>
      </c>
      <c r="D44" t="s">
        <v>37</v>
      </c>
      <c r="E44" s="1">
        <v>46086</v>
      </c>
      <c r="F44" s="1">
        <v>46106</v>
      </c>
      <c r="G44" s="1">
        <v>46109</v>
      </c>
      <c r="H44">
        <v>5500</v>
      </c>
      <c r="I44" t="s">
        <v>38</v>
      </c>
      <c r="J44">
        <v>3</v>
      </c>
      <c r="K44">
        <v>16500</v>
      </c>
    </row>
    <row r="45" spans="1:11" x14ac:dyDescent="0.3">
      <c r="A45" t="s">
        <v>136</v>
      </c>
      <c r="B45" t="s">
        <v>1613</v>
      </c>
      <c r="C45" t="s">
        <v>73</v>
      </c>
      <c r="D45" t="s">
        <v>11</v>
      </c>
      <c r="E45" s="1">
        <v>46030</v>
      </c>
      <c r="F45" s="1">
        <v>46054</v>
      </c>
      <c r="G45" s="1"/>
      <c r="H45">
        <v>7800</v>
      </c>
      <c r="I45" t="s">
        <v>12</v>
      </c>
      <c r="J45">
        <v>5</v>
      </c>
      <c r="K45">
        <v>39000</v>
      </c>
    </row>
    <row r="46" spans="1:11" x14ac:dyDescent="0.3">
      <c r="A46" t="s">
        <v>139</v>
      </c>
      <c r="B46" t="s">
        <v>1689</v>
      </c>
      <c r="C46" t="s">
        <v>70</v>
      </c>
      <c r="D46" t="s">
        <v>95</v>
      </c>
      <c r="E46" s="1">
        <v>46165</v>
      </c>
      <c r="F46" s="1">
        <v>46165</v>
      </c>
      <c r="G46" s="1"/>
      <c r="H46">
        <v>5700</v>
      </c>
      <c r="I46" t="s">
        <v>49</v>
      </c>
      <c r="J46">
        <v>7</v>
      </c>
      <c r="K46">
        <v>39900</v>
      </c>
    </row>
    <row r="47" spans="1:11" x14ac:dyDescent="0.3">
      <c r="A47" t="s">
        <v>141</v>
      </c>
      <c r="B47" t="s">
        <v>2058</v>
      </c>
      <c r="C47" t="s">
        <v>188</v>
      </c>
      <c r="D47" t="s">
        <v>26</v>
      </c>
      <c r="E47" s="1">
        <v>46073</v>
      </c>
      <c r="F47" s="1"/>
      <c r="G47" s="1"/>
      <c r="H47">
        <v>6500</v>
      </c>
      <c r="I47" t="s">
        <v>76</v>
      </c>
      <c r="J47">
        <v>0</v>
      </c>
      <c r="K47">
        <v>0</v>
      </c>
    </row>
    <row r="48" spans="1:11" x14ac:dyDescent="0.3">
      <c r="A48" t="s">
        <v>6032</v>
      </c>
      <c r="B48" t="s">
        <v>3737</v>
      </c>
      <c r="C48" t="s">
        <v>276</v>
      </c>
      <c r="D48" t="s">
        <v>48</v>
      </c>
      <c r="E48" s="1">
        <v>46197</v>
      </c>
      <c r="F48" s="1">
        <v>46215</v>
      </c>
      <c r="G48" s="1">
        <v>46222</v>
      </c>
      <c r="H48">
        <v>5000</v>
      </c>
      <c r="I48" t="s">
        <v>38</v>
      </c>
      <c r="J48">
        <v>7</v>
      </c>
      <c r="K48">
        <v>35000</v>
      </c>
    </row>
    <row r="49" spans="1:11" x14ac:dyDescent="0.3">
      <c r="A49" t="s">
        <v>144</v>
      </c>
      <c r="B49" t="s">
        <v>2500</v>
      </c>
      <c r="C49" t="s">
        <v>54</v>
      </c>
      <c r="D49" t="s">
        <v>33</v>
      </c>
      <c r="E49" s="1">
        <v>46147</v>
      </c>
      <c r="F49" s="1">
        <v>46210</v>
      </c>
      <c r="G49" s="1"/>
      <c r="H49">
        <v>7500</v>
      </c>
      <c r="I49" t="s">
        <v>12</v>
      </c>
      <c r="J49">
        <v>7</v>
      </c>
      <c r="K49">
        <v>52500</v>
      </c>
    </row>
    <row r="50" spans="1:11" x14ac:dyDescent="0.3">
      <c r="A50" t="s">
        <v>147</v>
      </c>
      <c r="B50" t="s">
        <v>2427</v>
      </c>
      <c r="C50" t="s">
        <v>32</v>
      </c>
      <c r="D50" t="s">
        <v>33</v>
      </c>
      <c r="E50" s="1">
        <v>46072</v>
      </c>
      <c r="F50" s="1">
        <v>46157</v>
      </c>
      <c r="G50" s="1"/>
      <c r="H50">
        <v>7000</v>
      </c>
      <c r="I50" t="s">
        <v>12</v>
      </c>
      <c r="J50">
        <v>3</v>
      </c>
      <c r="K50">
        <v>21000</v>
      </c>
    </row>
    <row r="51" spans="1:11" x14ac:dyDescent="0.3">
      <c r="A51" t="s">
        <v>150</v>
      </c>
      <c r="B51" t="s">
        <v>591</v>
      </c>
      <c r="C51" t="s">
        <v>366</v>
      </c>
      <c r="D51" t="s">
        <v>11</v>
      </c>
      <c r="E51" s="1">
        <v>46165</v>
      </c>
      <c r="F51" s="1">
        <v>46254</v>
      </c>
      <c r="G51" s="1"/>
      <c r="H51">
        <v>7700</v>
      </c>
      <c r="I51" t="s">
        <v>12</v>
      </c>
      <c r="J51">
        <v>4</v>
      </c>
      <c r="K51">
        <v>30800</v>
      </c>
    </row>
    <row r="52" spans="1:11" x14ac:dyDescent="0.3">
      <c r="A52" t="s">
        <v>153</v>
      </c>
      <c r="B52" t="s">
        <v>4237</v>
      </c>
      <c r="C52" t="s">
        <v>70</v>
      </c>
      <c r="D52" t="s">
        <v>223</v>
      </c>
      <c r="E52" s="1">
        <v>46048</v>
      </c>
      <c r="F52" s="1">
        <v>46097</v>
      </c>
      <c r="G52" s="1">
        <v>46099</v>
      </c>
      <c r="H52">
        <v>5700</v>
      </c>
      <c r="I52" t="s">
        <v>38</v>
      </c>
      <c r="J52">
        <v>2</v>
      </c>
      <c r="K52">
        <v>11400</v>
      </c>
    </row>
    <row r="53" spans="1:11" x14ac:dyDescent="0.3">
      <c r="A53" t="s">
        <v>155</v>
      </c>
      <c r="B53" t="s">
        <v>1526</v>
      </c>
      <c r="C53" t="s">
        <v>211</v>
      </c>
      <c r="D53" t="s">
        <v>11</v>
      </c>
      <c r="E53" s="1">
        <v>46095</v>
      </c>
      <c r="F53" s="1"/>
      <c r="G53" s="1"/>
      <c r="H53">
        <v>7200</v>
      </c>
      <c r="I53" t="s">
        <v>76</v>
      </c>
      <c r="J53">
        <v>0</v>
      </c>
      <c r="K53">
        <v>0</v>
      </c>
    </row>
    <row r="54" spans="1:11" x14ac:dyDescent="0.3">
      <c r="A54" t="s">
        <v>157</v>
      </c>
      <c r="B54" t="s">
        <v>1316</v>
      </c>
      <c r="C54" t="s">
        <v>152</v>
      </c>
      <c r="D54" t="s">
        <v>19</v>
      </c>
      <c r="E54" s="1">
        <v>46065</v>
      </c>
      <c r="F54" s="1">
        <v>46136</v>
      </c>
      <c r="G54" s="1"/>
      <c r="H54">
        <v>7800</v>
      </c>
      <c r="I54" t="s">
        <v>12</v>
      </c>
      <c r="J54">
        <v>6</v>
      </c>
      <c r="K54">
        <v>46800</v>
      </c>
    </row>
    <row r="55" spans="1:11" x14ac:dyDescent="0.3">
      <c r="A55" t="s">
        <v>160</v>
      </c>
      <c r="B55" t="s">
        <v>3416</v>
      </c>
      <c r="C55" t="s">
        <v>87</v>
      </c>
      <c r="D55" t="s">
        <v>26</v>
      </c>
      <c r="E55" s="1">
        <v>46147</v>
      </c>
      <c r="F55" s="1">
        <v>46212</v>
      </c>
      <c r="G55" s="1"/>
      <c r="H55">
        <v>5000</v>
      </c>
      <c r="I55" t="s">
        <v>12</v>
      </c>
      <c r="J55">
        <v>5</v>
      </c>
      <c r="K55">
        <v>25000</v>
      </c>
    </row>
    <row r="56" spans="1:11" x14ac:dyDescent="0.3">
      <c r="A56" t="s">
        <v>163</v>
      </c>
      <c r="B56" t="s">
        <v>4149</v>
      </c>
      <c r="C56" t="s">
        <v>335</v>
      </c>
      <c r="D56" t="s">
        <v>58</v>
      </c>
      <c r="E56" s="1">
        <v>46048</v>
      </c>
      <c r="F56" s="1">
        <v>46063</v>
      </c>
      <c r="G56" s="1">
        <v>46067</v>
      </c>
      <c r="H56">
        <v>6500</v>
      </c>
      <c r="I56" t="s">
        <v>38</v>
      </c>
      <c r="J56">
        <v>4</v>
      </c>
      <c r="K56">
        <v>26000</v>
      </c>
    </row>
    <row r="57" spans="1:11" x14ac:dyDescent="0.3">
      <c r="A57" t="s">
        <v>166</v>
      </c>
      <c r="B57" t="s">
        <v>1669</v>
      </c>
      <c r="C57" t="s">
        <v>252</v>
      </c>
      <c r="D57" t="s">
        <v>19</v>
      </c>
      <c r="E57" s="1">
        <v>46169</v>
      </c>
      <c r="F57" s="1">
        <v>46218</v>
      </c>
      <c r="G57" s="1"/>
      <c r="H57">
        <v>7800</v>
      </c>
      <c r="I57" t="s">
        <v>12</v>
      </c>
      <c r="J57">
        <v>2</v>
      </c>
      <c r="K57">
        <v>15600</v>
      </c>
    </row>
    <row r="58" spans="1:11" x14ac:dyDescent="0.3">
      <c r="A58" t="s">
        <v>169</v>
      </c>
      <c r="B58" t="s">
        <v>3399</v>
      </c>
      <c r="C58" t="s">
        <v>45</v>
      </c>
      <c r="D58" t="s">
        <v>37</v>
      </c>
      <c r="E58" s="1">
        <v>46125</v>
      </c>
      <c r="F58" s="1">
        <v>46184</v>
      </c>
      <c r="G58" s="1">
        <v>46185</v>
      </c>
      <c r="H58">
        <v>7700</v>
      </c>
      <c r="I58" t="s">
        <v>38</v>
      </c>
      <c r="J58">
        <v>1</v>
      </c>
      <c r="K58">
        <v>7700</v>
      </c>
    </row>
    <row r="59" spans="1:11" x14ac:dyDescent="0.3">
      <c r="A59" t="s">
        <v>171</v>
      </c>
      <c r="B59" t="s">
        <v>1308</v>
      </c>
      <c r="C59" t="s">
        <v>185</v>
      </c>
      <c r="D59" t="s">
        <v>48</v>
      </c>
      <c r="E59" s="1">
        <v>46139</v>
      </c>
      <c r="F59" s="1">
        <v>46145</v>
      </c>
      <c r="G59" s="1">
        <v>46150</v>
      </c>
      <c r="H59">
        <v>5700</v>
      </c>
      <c r="I59" t="s">
        <v>38</v>
      </c>
      <c r="J59">
        <v>5</v>
      </c>
      <c r="K59">
        <v>28500</v>
      </c>
    </row>
    <row r="60" spans="1:11" x14ac:dyDescent="0.3">
      <c r="A60" t="s">
        <v>173</v>
      </c>
      <c r="B60" t="s">
        <v>1807</v>
      </c>
      <c r="C60" t="s">
        <v>22</v>
      </c>
      <c r="D60" t="s">
        <v>26</v>
      </c>
      <c r="E60" s="1">
        <v>46025</v>
      </c>
      <c r="F60" s="1">
        <v>46110</v>
      </c>
      <c r="G60" s="1"/>
      <c r="H60">
        <v>7000</v>
      </c>
      <c r="I60" t="s">
        <v>12</v>
      </c>
      <c r="J60">
        <v>2</v>
      </c>
      <c r="K60">
        <v>14000</v>
      </c>
    </row>
    <row r="61" spans="1:11" x14ac:dyDescent="0.3">
      <c r="A61" t="s">
        <v>176</v>
      </c>
      <c r="B61" t="s">
        <v>1673</v>
      </c>
      <c r="C61" t="s">
        <v>36</v>
      </c>
      <c r="D61" t="s">
        <v>33</v>
      </c>
      <c r="E61" s="1">
        <v>46160</v>
      </c>
      <c r="F61" s="1">
        <v>46219</v>
      </c>
      <c r="G61" s="1"/>
      <c r="H61">
        <v>7000</v>
      </c>
      <c r="I61" t="s">
        <v>12</v>
      </c>
      <c r="J61">
        <v>5</v>
      </c>
      <c r="K61">
        <v>35000</v>
      </c>
    </row>
    <row r="62" spans="1:11" x14ac:dyDescent="0.3">
      <c r="A62" t="s">
        <v>178</v>
      </c>
      <c r="B62" t="s">
        <v>2747</v>
      </c>
      <c r="C62" t="s">
        <v>219</v>
      </c>
      <c r="D62" t="s">
        <v>37</v>
      </c>
      <c r="E62" s="1">
        <v>46130</v>
      </c>
      <c r="F62" s="1">
        <v>46140</v>
      </c>
      <c r="G62" s="1">
        <v>46145</v>
      </c>
      <c r="H62">
        <v>4700</v>
      </c>
      <c r="I62" t="s">
        <v>38</v>
      </c>
      <c r="J62">
        <v>5</v>
      </c>
      <c r="K62">
        <v>23500</v>
      </c>
    </row>
    <row r="63" spans="1:11" x14ac:dyDescent="0.3">
      <c r="A63" t="s">
        <v>180</v>
      </c>
      <c r="B63" t="s">
        <v>4308</v>
      </c>
      <c r="C63" t="s">
        <v>222</v>
      </c>
      <c r="D63" t="s">
        <v>19</v>
      </c>
      <c r="E63" s="1">
        <v>46118</v>
      </c>
      <c r="F63" s="1">
        <v>46198</v>
      </c>
      <c r="G63" s="1"/>
      <c r="H63">
        <v>5200</v>
      </c>
      <c r="I63" t="s">
        <v>12</v>
      </c>
      <c r="J63">
        <v>3</v>
      </c>
      <c r="K63">
        <v>15600</v>
      </c>
    </row>
    <row r="64" spans="1:11" x14ac:dyDescent="0.3">
      <c r="A64" t="s">
        <v>183</v>
      </c>
      <c r="B64" t="s">
        <v>2287</v>
      </c>
      <c r="C64" t="s">
        <v>594</v>
      </c>
      <c r="D64" t="s">
        <v>11</v>
      </c>
      <c r="E64" s="1">
        <v>46160</v>
      </c>
      <c r="F64" s="1">
        <v>46215</v>
      </c>
      <c r="G64" s="1"/>
      <c r="H64">
        <v>6500</v>
      </c>
      <c r="I64" t="s">
        <v>12</v>
      </c>
      <c r="J64">
        <v>6</v>
      </c>
      <c r="K64">
        <v>39000</v>
      </c>
    </row>
    <row r="65" spans="1:11" x14ac:dyDescent="0.3">
      <c r="A65" t="s">
        <v>186</v>
      </c>
      <c r="B65" t="s">
        <v>2277</v>
      </c>
      <c r="C65" t="s">
        <v>211</v>
      </c>
      <c r="D65" t="s">
        <v>26</v>
      </c>
      <c r="E65" s="1">
        <v>46177</v>
      </c>
      <c r="F65" s="1">
        <v>46258</v>
      </c>
      <c r="G65" s="1"/>
      <c r="H65">
        <v>7200</v>
      </c>
      <c r="I65" t="s">
        <v>12</v>
      </c>
      <c r="J65">
        <v>6</v>
      </c>
      <c r="K65">
        <v>43200</v>
      </c>
    </row>
    <row r="66" spans="1:11" x14ac:dyDescent="0.3">
      <c r="A66" t="s">
        <v>189</v>
      </c>
      <c r="B66" t="s">
        <v>1893</v>
      </c>
      <c r="C66" t="s">
        <v>18</v>
      </c>
      <c r="D66" t="s">
        <v>19</v>
      </c>
      <c r="E66" s="1">
        <v>46169</v>
      </c>
      <c r="F66" s="1">
        <v>46246</v>
      </c>
      <c r="G66" s="1"/>
      <c r="H66">
        <v>6900</v>
      </c>
      <c r="I66" t="s">
        <v>12</v>
      </c>
      <c r="J66">
        <v>5</v>
      </c>
      <c r="K66">
        <v>34500</v>
      </c>
    </row>
    <row r="67" spans="1:11" x14ac:dyDescent="0.3">
      <c r="A67" t="s">
        <v>191</v>
      </c>
      <c r="B67" t="s">
        <v>187</v>
      </c>
      <c r="C67" t="s">
        <v>366</v>
      </c>
      <c r="D67" t="s">
        <v>48</v>
      </c>
      <c r="E67" s="1">
        <v>46194</v>
      </c>
      <c r="F67" s="1">
        <v>46223</v>
      </c>
      <c r="G67" s="1">
        <v>46226</v>
      </c>
      <c r="H67">
        <v>7700</v>
      </c>
      <c r="I67" t="s">
        <v>38</v>
      </c>
      <c r="J67">
        <v>3</v>
      </c>
      <c r="K67">
        <v>23100</v>
      </c>
    </row>
    <row r="68" spans="1:11" x14ac:dyDescent="0.3">
      <c r="A68" t="s">
        <v>194</v>
      </c>
      <c r="B68" t="s">
        <v>1258</v>
      </c>
      <c r="C68" t="s">
        <v>146</v>
      </c>
      <c r="D68" t="s">
        <v>19</v>
      </c>
      <c r="E68" s="1">
        <v>46031</v>
      </c>
      <c r="F68" s="1">
        <v>46069</v>
      </c>
      <c r="G68" s="1"/>
      <c r="H68">
        <v>4700</v>
      </c>
      <c r="I68" t="s">
        <v>12</v>
      </c>
      <c r="J68">
        <v>2</v>
      </c>
      <c r="K68">
        <v>9400</v>
      </c>
    </row>
    <row r="69" spans="1:11" x14ac:dyDescent="0.3">
      <c r="A69" t="s">
        <v>196</v>
      </c>
      <c r="B69" t="s">
        <v>2237</v>
      </c>
      <c r="C69" t="s">
        <v>193</v>
      </c>
      <c r="D69" t="s">
        <v>237</v>
      </c>
      <c r="E69" s="1">
        <v>46144</v>
      </c>
      <c r="F69" s="1">
        <v>46201</v>
      </c>
      <c r="G69" s="1">
        <v>46204</v>
      </c>
      <c r="H69">
        <v>6500</v>
      </c>
      <c r="I69" t="s">
        <v>38</v>
      </c>
      <c r="J69">
        <v>3</v>
      </c>
      <c r="K69">
        <v>19500</v>
      </c>
    </row>
    <row r="70" spans="1:11" x14ac:dyDescent="0.3">
      <c r="A70" t="s">
        <v>198</v>
      </c>
      <c r="B70" t="s">
        <v>2623</v>
      </c>
      <c r="C70" t="s">
        <v>335</v>
      </c>
      <c r="D70" t="s">
        <v>48</v>
      </c>
      <c r="E70" s="1">
        <v>46131</v>
      </c>
      <c r="F70" s="1">
        <v>46186</v>
      </c>
      <c r="G70" s="1">
        <v>46187</v>
      </c>
      <c r="H70">
        <v>6500</v>
      </c>
      <c r="I70" t="s">
        <v>38</v>
      </c>
      <c r="J70">
        <v>1</v>
      </c>
      <c r="K70">
        <v>6500</v>
      </c>
    </row>
    <row r="71" spans="1:11" x14ac:dyDescent="0.3">
      <c r="A71" t="s">
        <v>200</v>
      </c>
      <c r="B71" t="s">
        <v>4216</v>
      </c>
      <c r="C71" t="s">
        <v>138</v>
      </c>
      <c r="D71" t="s">
        <v>42</v>
      </c>
      <c r="E71" s="1">
        <v>46106</v>
      </c>
      <c r="F71" s="1">
        <v>46126</v>
      </c>
      <c r="G71" s="1">
        <v>46133</v>
      </c>
      <c r="H71">
        <v>7500</v>
      </c>
      <c r="I71" t="s">
        <v>38</v>
      </c>
      <c r="J71">
        <v>7</v>
      </c>
      <c r="K71">
        <v>52500</v>
      </c>
    </row>
    <row r="72" spans="1:11" x14ac:dyDescent="0.3">
      <c r="A72" t="s">
        <v>202</v>
      </c>
      <c r="B72" t="s">
        <v>3204</v>
      </c>
      <c r="C72" t="s">
        <v>10</v>
      </c>
      <c r="D72" t="s">
        <v>26</v>
      </c>
      <c r="E72" s="1">
        <v>46040</v>
      </c>
      <c r="F72" s="1">
        <v>46112</v>
      </c>
      <c r="G72" s="1"/>
      <c r="H72">
        <v>6700</v>
      </c>
      <c r="I72" t="s">
        <v>12</v>
      </c>
      <c r="J72">
        <v>4</v>
      </c>
      <c r="K72">
        <v>26800</v>
      </c>
    </row>
    <row r="73" spans="1:11" x14ac:dyDescent="0.3">
      <c r="A73" t="s">
        <v>205</v>
      </c>
      <c r="B73" t="s">
        <v>1102</v>
      </c>
      <c r="C73" t="s">
        <v>165</v>
      </c>
      <c r="D73" t="s">
        <v>33</v>
      </c>
      <c r="E73" s="1">
        <v>46050</v>
      </c>
      <c r="F73" s="1">
        <v>46062</v>
      </c>
      <c r="G73" s="1"/>
      <c r="H73">
        <v>5200</v>
      </c>
      <c r="I73" t="s">
        <v>12</v>
      </c>
      <c r="J73">
        <v>2</v>
      </c>
      <c r="K73">
        <v>10400</v>
      </c>
    </row>
    <row r="74" spans="1:11" x14ac:dyDescent="0.3">
      <c r="A74" t="s">
        <v>207</v>
      </c>
      <c r="B74" t="s">
        <v>992</v>
      </c>
      <c r="C74" t="s">
        <v>61</v>
      </c>
      <c r="D74" t="s">
        <v>33</v>
      </c>
      <c r="E74" s="1">
        <v>46023</v>
      </c>
      <c r="F74" s="1">
        <v>46061</v>
      </c>
      <c r="G74" s="1"/>
      <c r="H74">
        <v>3500</v>
      </c>
      <c r="I74" t="s">
        <v>12</v>
      </c>
      <c r="J74">
        <v>4</v>
      </c>
      <c r="K74">
        <v>14000</v>
      </c>
    </row>
    <row r="75" spans="1:11" x14ac:dyDescent="0.3">
      <c r="A75" t="s">
        <v>209</v>
      </c>
      <c r="B75" t="s">
        <v>3395</v>
      </c>
      <c r="C75" t="s">
        <v>263</v>
      </c>
      <c r="D75" t="s">
        <v>11</v>
      </c>
      <c r="E75" s="1">
        <v>46157</v>
      </c>
      <c r="F75" s="1">
        <v>46220</v>
      </c>
      <c r="G75" s="1"/>
      <c r="H75">
        <v>4800</v>
      </c>
      <c r="I75" t="s">
        <v>12</v>
      </c>
      <c r="J75">
        <v>5</v>
      </c>
      <c r="K75">
        <v>24000</v>
      </c>
    </row>
    <row r="76" spans="1:11" x14ac:dyDescent="0.3">
      <c r="A76" t="s">
        <v>212</v>
      </c>
      <c r="B76" t="s">
        <v>970</v>
      </c>
      <c r="C76" t="s">
        <v>222</v>
      </c>
      <c r="D76" t="s">
        <v>95</v>
      </c>
      <c r="E76" s="1">
        <v>46198</v>
      </c>
      <c r="F76" s="1">
        <v>46205</v>
      </c>
      <c r="G76" s="1">
        <v>46207</v>
      </c>
      <c r="H76">
        <v>5200</v>
      </c>
      <c r="I76" t="s">
        <v>38</v>
      </c>
      <c r="J76">
        <v>2</v>
      </c>
      <c r="K76">
        <v>10400</v>
      </c>
    </row>
    <row r="77" spans="1:11" x14ac:dyDescent="0.3">
      <c r="A77" t="s">
        <v>215</v>
      </c>
      <c r="B77" t="s">
        <v>1343</v>
      </c>
      <c r="C77" t="s">
        <v>125</v>
      </c>
      <c r="D77" t="s">
        <v>37</v>
      </c>
      <c r="E77" s="1">
        <v>46173</v>
      </c>
      <c r="F77" s="1">
        <v>46177</v>
      </c>
      <c r="G77" s="1">
        <v>46182</v>
      </c>
      <c r="H77">
        <v>4800</v>
      </c>
      <c r="I77" t="s">
        <v>38</v>
      </c>
      <c r="J77">
        <v>5</v>
      </c>
      <c r="K77">
        <v>24000</v>
      </c>
    </row>
    <row r="78" spans="1:11" x14ac:dyDescent="0.3">
      <c r="A78" t="s">
        <v>217</v>
      </c>
      <c r="B78" t="s">
        <v>4189</v>
      </c>
      <c r="C78" t="s">
        <v>326</v>
      </c>
      <c r="D78" t="s">
        <v>33</v>
      </c>
      <c r="E78" s="1">
        <v>46042</v>
      </c>
      <c r="F78" s="1">
        <v>46109</v>
      </c>
      <c r="G78" s="1"/>
      <c r="H78">
        <v>4000</v>
      </c>
      <c r="I78" t="s">
        <v>12</v>
      </c>
      <c r="J78">
        <v>7</v>
      </c>
      <c r="K78">
        <v>28000</v>
      </c>
    </row>
    <row r="79" spans="1:11" x14ac:dyDescent="0.3">
      <c r="A79" t="s">
        <v>220</v>
      </c>
      <c r="B79" t="s">
        <v>1122</v>
      </c>
      <c r="C79" t="s">
        <v>204</v>
      </c>
      <c r="D79" t="s">
        <v>48</v>
      </c>
      <c r="E79" s="1">
        <v>46181</v>
      </c>
      <c r="F79" s="1">
        <v>46238</v>
      </c>
      <c r="G79" s="1">
        <v>46242</v>
      </c>
      <c r="H79">
        <v>7000</v>
      </c>
      <c r="I79" t="s">
        <v>38</v>
      </c>
      <c r="J79">
        <v>4</v>
      </c>
      <c r="K79">
        <v>28000</v>
      </c>
    </row>
    <row r="80" spans="1:11" x14ac:dyDescent="0.3">
      <c r="A80" t="s">
        <v>224</v>
      </c>
      <c r="B80" t="s">
        <v>1565</v>
      </c>
      <c r="C80" t="s">
        <v>45</v>
      </c>
      <c r="D80" t="s">
        <v>26</v>
      </c>
      <c r="E80" s="1">
        <v>46152</v>
      </c>
      <c r="F80" s="1">
        <v>46175</v>
      </c>
      <c r="G80" s="1"/>
      <c r="H80">
        <v>7700</v>
      </c>
      <c r="I80" t="s">
        <v>12</v>
      </c>
      <c r="J80">
        <v>1</v>
      </c>
      <c r="K80">
        <v>7700</v>
      </c>
    </row>
    <row r="81" spans="1:11" x14ac:dyDescent="0.3">
      <c r="A81" t="s">
        <v>226</v>
      </c>
      <c r="B81" t="s">
        <v>319</v>
      </c>
      <c r="C81" t="s">
        <v>45</v>
      </c>
      <c r="D81" t="s">
        <v>95</v>
      </c>
      <c r="E81" s="1">
        <v>46154</v>
      </c>
      <c r="F81" s="1">
        <v>46195</v>
      </c>
      <c r="G81" s="1">
        <v>46197</v>
      </c>
      <c r="H81">
        <v>7700</v>
      </c>
      <c r="I81" t="s">
        <v>38</v>
      </c>
      <c r="J81">
        <v>2</v>
      </c>
      <c r="K81">
        <v>15400</v>
      </c>
    </row>
    <row r="82" spans="1:11" x14ac:dyDescent="0.3">
      <c r="A82" t="s">
        <v>229</v>
      </c>
      <c r="B82" t="s">
        <v>1068</v>
      </c>
      <c r="C82" t="s">
        <v>193</v>
      </c>
      <c r="D82" t="s">
        <v>48</v>
      </c>
      <c r="E82" s="1">
        <v>46132</v>
      </c>
      <c r="F82" s="1">
        <v>46138</v>
      </c>
      <c r="G82" s="1">
        <v>46145</v>
      </c>
      <c r="H82">
        <v>6500</v>
      </c>
      <c r="I82" t="s">
        <v>38</v>
      </c>
      <c r="J82">
        <v>7</v>
      </c>
      <c r="K82">
        <v>45500</v>
      </c>
    </row>
    <row r="83" spans="1:11" x14ac:dyDescent="0.3">
      <c r="A83" t="s">
        <v>231</v>
      </c>
      <c r="B83" t="s">
        <v>2695</v>
      </c>
      <c r="C83" t="s">
        <v>168</v>
      </c>
      <c r="D83" t="s">
        <v>19</v>
      </c>
      <c r="E83" s="1">
        <v>46024</v>
      </c>
      <c r="F83" s="1">
        <v>46052</v>
      </c>
      <c r="G83" s="1"/>
      <c r="H83">
        <v>4300</v>
      </c>
      <c r="I83" t="s">
        <v>12</v>
      </c>
      <c r="J83">
        <v>3</v>
      </c>
      <c r="K83">
        <v>12900</v>
      </c>
    </row>
    <row r="84" spans="1:11" x14ac:dyDescent="0.3">
      <c r="A84" t="s">
        <v>233</v>
      </c>
      <c r="B84" t="s">
        <v>1066</v>
      </c>
      <c r="C84" t="s">
        <v>499</v>
      </c>
      <c r="D84" t="s">
        <v>11</v>
      </c>
      <c r="E84" s="1">
        <v>46170</v>
      </c>
      <c r="F84" s="1">
        <v>46206</v>
      </c>
      <c r="G84" s="1"/>
      <c r="H84">
        <v>7700</v>
      </c>
      <c r="I84" t="s">
        <v>12</v>
      </c>
      <c r="J84">
        <v>2</v>
      </c>
      <c r="K84">
        <v>15400</v>
      </c>
    </row>
    <row r="85" spans="1:11" x14ac:dyDescent="0.3">
      <c r="A85" t="s">
        <v>235</v>
      </c>
      <c r="B85" t="s">
        <v>1487</v>
      </c>
      <c r="C85" t="s">
        <v>896</v>
      </c>
      <c r="D85" t="s">
        <v>26</v>
      </c>
      <c r="E85" s="1">
        <v>46060</v>
      </c>
      <c r="F85" s="1">
        <v>46093</v>
      </c>
      <c r="G85" s="1"/>
      <c r="H85">
        <v>6200</v>
      </c>
      <c r="I85" t="s">
        <v>12</v>
      </c>
      <c r="J85">
        <v>1</v>
      </c>
      <c r="K85">
        <v>6200</v>
      </c>
    </row>
    <row r="86" spans="1:11" x14ac:dyDescent="0.3">
      <c r="A86" t="s">
        <v>238</v>
      </c>
      <c r="B86" t="s">
        <v>1158</v>
      </c>
      <c r="C86" t="s">
        <v>41</v>
      </c>
      <c r="D86" t="s">
        <v>223</v>
      </c>
      <c r="E86" s="1">
        <v>46033</v>
      </c>
      <c r="F86" s="1">
        <v>46051</v>
      </c>
      <c r="G86" s="1">
        <v>46053</v>
      </c>
      <c r="H86">
        <v>5500</v>
      </c>
      <c r="I86" t="s">
        <v>38</v>
      </c>
      <c r="J86">
        <v>2</v>
      </c>
      <c r="K86">
        <v>11000</v>
      </c>
    </row>
    <row r="87" spans="1:11" x14ac:dyDescent="0.3">
      <c r="A87" t="s">
        <v>241</v>
      </c>
      <c r="B87" t="s">
        <v>2881</v>
      </c>
      <c r="C87" t="s">
        <v>255</v>
      </c>
      <c r="D87" t="s">
        <v>48</v>
      </c>
      <c r="E87" s="1">
        <v>46134</v>
      </c>
      <c r="F87" s="1">
        <v>46151</v>
      </c>
      <c r="G87" s="1">
        <v>46152</v>
      </c>
      <c r="H87">
        <v>4200</v>
      </c>
      <c r="I87" t="s">
        <v>38</v>
      </c>
      <c r="J87">
        <v>1</v>
      </c>
      <c r="K87">
        <v>4200</v>
      </c>
    </row>
    <row r="88" spans="1:11" x14ac:dyDescent="0.3">
      <c r="A88" t="s">
        <v>243</v>
      </c>
      <c r="B88" t="s">
        <v>2135</v>
      </c>
      <c r="C88" t="s">
        <v>188</v>
      </c>
      <c r="D88" t="s">
        <v>95</v>
      </c>
      <c r="E88" s="1">
        <v>46146</v>
      </c>
      <c r="F88" s="1">
        <v>46193</v>
      </c>
      <c r="G88" s="1">
        <v>46194</v>
      </c>
      <c r="H88">
        <v>6500</v>
      </c>
      <c r="I88" t="s">
        <v>38</v>
      </c>
      <c r="J88">
        <v>1</v>
      </c>
      <c r="K88">
        <v>6500</v>
      </c>
    </row>
    <row r="89" spans="1:11" x14ac:dyDescent="0.3">
      <c r="A89" t="s">
        <v>246</v>
      </c>
      <c r="B89" t="s">
        <v>2437</v>
      </c>
      <c r="C89" t="s">
        <v>122</v>
      </c>
      <c r="D89" t="s">
        <v>33</v>
      </c>
      <c r="E89" s="1">
        <v>46055</v>
      </c>
      <c r="F89" s="1">
        <v>46122</v>
      </c>
      <c r="G89" s="1"/>
      <c r="H89">
        <v>6900</v>
      </c>
      <c r="I89" t="s">
        <v>12</v>
      </c>
      <c r="J89">
        <v>1</v>
      </c>
      <c r="K89">
        <v>6900</v>
      </c>
    </row>
    <row r="90" spans="1:11" x14ac:dyDescent="0.3">
      <c r="A90" t="s">
        <v>248</v>
      </c>
      <c r="B90" t="s">
        <v>1296</v>
      </c>
      <c r="C90" t="s">
        <v>109</v>
      </c>
      <c r="D90" t="s">
        <v>11</v>
      </c>
      <c r="E90" s="1">
        <v>46093</v>
      </c>
      <c r="F90" s="1">
        <v>46136</v>
      </c>
      <c r="G90" s="1"/>
      <c r="H90">
        <v>7200</v>
      </c>
      <c r="I90" t="s">
        <v>12</v>
      </c>
      <c r="J90">
        <v>3</v>
      </c>
      <c r="K90">
        <v>21600</v>
      </c>
    </row>
    <row r="91" spans="1:11" x14ac:dyDescent="0.3">
      <c r="A91" t="s">
        <v>250</v>
      </c>
      <c r="B91" t="s">
        <v>2811</v>
      </c>
      <c r="C91" t="s">
        <v>106</v>
      </c>
      <c r="D91" t="s">
        <v>11</v>
      </c>
      <c r="E91" s="1">
        <v>46087</v>
      </c>
      <c r="F91" s="1">
        <v>46155</v>
      </c>
      <c r="G91" s="1"/>
      <c r="H91">
        <v>4300</v>
      </c>
      <c r="I91" t="s">
        <v>12</v>
      </c>
      <c r="J91">
        <v>1</v>
      </c>
      <c r="K91">
        <v>4300</v>
      </c>
    </row>
    <row r="92" spans="1:11" x14ac:dyDescent="0.3">
      <c r="A92" t="s">
        <v>253</v>
      </c>
      <c r="B92" t="s">
        <v>2663</v>
      </c>
      <c r="C92" t="s">
        <v>162</v>
      </c>
      <c r="D92" t="s">
        <v>19</v>
      </c>
      <c r="E92" s="1">
        <v>46189</v>
      </c>
      <c r="F92" s="1">
        <v>46231</v>
      </c>
      <c r="G92" s="1"/>
      <c r="H92">
        <v>8300</v>
      </c>
      <c r="I92" t="s">
        <v>12</v>
      </c>
      <c r="J92">
        <v>5</v>
      </c>
      <c r="K92">
        <v>41500</v>
      </c>
    </row>
    <row r="93" spans="1:11" x14ac:dyDescent="0.3">
      <c r="A93" t="s">
        <v>256</v>
      </c>
      <c r="B93" t="s">
        <v>4064</v>
      </c>
      <c r="C93" t="s">
        <v>159</v>
      </c>
      <c r="D93" t="s">
        <v>19</v>
      </c>
      <c r="E93" s="1">
        <v>46057</v>
      </c>
      <c r="F93" s="1"/>
      <c r="G93" s="1"/>
      <c r="H93">
        <v>7200</v>
      </c>
      <c r="I93" t="s">
        <v>76</v>
      </c>
      <c r="J93">
        <v>0</v>
      </c>
      <c r="K93">
        <v>0</v>
      </c>
    </row>
    <row r="94" spans="1:11" x14ac:dyDescent="0.3">
      <c r="A94" t="s">
        <v>259</v>
      </c>
      <c r="B94" t="s">
        <v>3901</v>
      </c>
      <c r="C94" t="s">
        <v>245</v>
      </c>
      <c r="D94" t="s">
        <v>11</v>
      </c>
      <c r="E94" s="1">
        <v>46039</v>
      </c>
      <c r="F94" s="1">
        <v>46106</v>
      </c>
      <c r="G94" s="1"/>
      <c r="H94">
        <v>8300</v>
      </c>
      <c r="I94" t="s">
        <v>12</v>
      </c>
      <c r="J94">
        <v>5</v>
      </c>
      <c r="K94">
        <v>41500</v>
      </c>
    </row>
    <row r="95" spans="1:11" x14ac:dyDescent="0.3">
      <c r="A95" t="s">
        <v>261</v>
      </c>
      <c r="B95" t="s">
        <v>2663</v>
      </c>
      <c r="C95" t="s">
        <v>258</v>
      </c>
      <c r="D95" t="s">
        <v>11</v>
      </c>
      <c r="E95" s="1">
        <v>46075</v>
      </c>
      <c r="F95" s="1">
        <v>46163</v>
      </c>
      <c r="G95" s="1"/>
      <c r="H95">
        <v>4700</v>
      </c>
      <c r="I95" t="s">
        <v>12</v>
      </c>
      <c r="J95">
        <v>3</v>
      </c>
      <c r="K95">
        <v>14100</v>
      </c>
    </row>
    <row r="96" spans="1:11" x14ac:dyDescent="0.3">
      <c r="A96" t="s">
        <v>264</v>
      </c>
      <c r="B96" t="s">
        <v>2914</v>
      </c>
      <c r="C96" t="s">
        <v>182</v>
      </c>
      <c r="D96" t="s">
        <v>26</v>
      </c>
      <c r="E96" s="1">
        <v>46103</v>
      </c>
      <c r="F96" s="1">
        <v>46125</v>
      </c>
      <c r="G96" s="1"/>
      <c r="H96">
        <v>7000</v>
      </c>
      <c r="I96" t="s">
        <v>12</v>
      </c>
      <c r="J96">
        <v>6</v>
      </c>
      <c r="K96">
        <v>42000</v>
      </c>
    </row>
    <row r="97" spans="1:11" x14ac:dyDescent="0.3">
      <c r="A97" t="s">
        <v>266</v>
      </c>
      <c r="B97" t="s">
        <v>1384</v>
      </c>
      <c r="C97" t="s">
        <v>106</v>
      </c>
      <c r="D97" t="s">
        <v>237</v>
      </c>
      <c r="E97" s="1">
        <v>46080</v>
      </c>
      <c r="F97" s="1">
        <v>46137</v>
      </c>
      <c r="G97" s="1">
        <v>46144</v>
      </c>
      <c r="H97">
        <v>4300</v>
      </c>
      <c r="I97" t="s">
        <v>38</v>
      </c>
      <c r="J97">
        <v>7</v>
      </c>
      <c r="K97">
        <v>30100</v>
      </c>
    </row>
    <row r="98" spans="1:11" x14ac:dyDescent="0.3">
      <c r="A98" t="s">
        <v>268</v>
      </c>
      <c r="B98" t="s">
        <v>4417</v>
      </c>
      <c r="C98" t="s">
        <v>526</v>
      </c>
      <c r="D98" t="s">
        <v>37</v>
      </c>
      <c r="E98" s="1">
        <v>46141</v>
      </c>
      <c r="F98" s="1">
        <v>46141</v>
      </c>
      <c r="G98" s="1"/>
      <c r="H98">
        <v>6200</v>
      </c>
      <c r="I98" t="s">
        <v>49</v>
      </c>
      <c r="J98">
        <v>4</v>
      </c>
      <c r="K98">
        <v>24800</v>
      </c>
    </row>
    <row r="99" spans="1:11" x14ac:dyDescent="0.3">
      <c r="A99" t="s">
        <v>271</v>
      </c>
      <c r="B99" t="s">
        <v>2465</v>
      </c>
      <c r="C99" t="s">
        <v>22</v>
      </c>
      <c r="D99" t="s">
        <v>95</v>
      </c>
      <c r="E99" s="1">
        <v>46178</v>
      </c>
      <c r="F99" s="1">
        <v>46216</v>
      </c>
      <c r="G99" s="1">
        <v>46217</v>
      </c>
      <c r="H99">
        <v>7000</v>
      </c>
      <c r="I99" t="s">
        <v>38</v>
      </c>
      <c r="J99">
        <v>1</v>
      </c>
      <c r="K99">
        <v>7000</v>
      </c>
    </row>
    <row r="100" spans="1:11" x14ac:dyDescent="0.3">
      <c r="A100" t="s">
        <v>274</v>
      </c>
      <c r="B100" t="s">
        <v>2955</v>
      </c>
      <c r="C100" t="s">
        <v>45</v>
      </c>
      <c r="D100" t="s">
        <v>19</v>
      </c>
      <c r="E100" s="1">
        <v>46116</v>
      </c>
      <c r="F100" s="1">
        <v>46141</v>
      </c>
      <c r="G100" s="1"/>
      <c r="H100">
        <v>7700</v>
      </c>
      <c r="I100" t="s">
        <v>12</v>
      </c>
      <c r="J100">
        <v>1</v>
      </c>
      <c r="K100">
        <v>7700</v>
      </c>
    </row>
    <row r="101" spans="1:11" x14ac:dyDescent="0.3">
      <c r="A101" t="s">
        <v>277</v>
      </c>
      <c r="B101" t="s">
        <v>1582</v>
      </c>
      <c r="C101" t="s">
        <v>279</v>
      </c>
      <c r="D101" t="s">
        <v>58</v>
      </c>
      <c r="E101" s="1">
        <v>46076</v>
      </c>
      <c r="F101" s="1">
        <v>46104</v>
      </c>
      <c r="G101" s="1">
        <v>46106</v>
      </c>
      <c r="H101">
        <v>4700</v>
      </c>
      <c r="I101" t="s">
        <v>38</v>
      </c>
      <c r="J101">
        <v>2</v>
      </c>
      <c r="K101">
        <v>9400</v>
      </c>
    </row>
    <row r="102" spans="1:11" x14ac:dyDescent="0.3">
      <c r="A102" t="s">
        <v>280</v>
      </c>
      <c r="B102" t="s">
        <v>345</v>
      </c>
      <c r="C102" t="s">
        <v>45</v>
      </c>
      <c r="D102" t="s">
        <v>37</v>
      </c>
      <c r="E102" s="1">
        <v>46127</v>
      </c>
      <c r="F102" s="1">
        <v>46180</v>
      </c>
      <c r="G102" s="1">
        <v>46186</v>
      </c>
      <c r="H102">
        <v>7700</v>
      </c>
      <c r="I102" t="s">
        <v>38</v>
      </c>
      <c r="J102">
        <v>6</v>
      </c>
      <c r="K102">
        <v>46200</v>
      </c>
    </row>
    <row r="103" spans="1:11" x14ac:dyDescent="0.3">
      <c r="A103" t="s">
        <v>282</v>
      </c>
      <c r="B103" t="s">
        <v>537</v>
      </c>
      <c r="C103" t="s">
        <v>119</v>
      </c>
      <c r="D103" t="s">
        <v>11</v>
      </c>
      <c r="E103" s="1">
        <v>46035</v>
      </c>
      <c r="F103" s="1"/>
      <c r="G103" s="1"/>
      <c r="H103">
        <v>4700</v>
      </c>
      <c r="I103" t="s">
        <v>76</v>
      </c>
      <c r="J103">
        <v>0</v>
      </c>
      <c r="K103">
        <v>0</v>
      </c>
    </row>
    <row r="104" spans="1:11" x14ac:dyDescent="0.3">
      <c r="A104" t="s">
        <v>284</v>
      </c>
      <c r="B104" t="s">
        <v>1907</v>
      </c>
      <c r="C104" t="s">
        <v>240</v>
      </c>
      <c r="D104" t="s">
        <v>33</v>
      </c>
      <c r="E104" s="1">
        <v>46055</v>
      </c>
      <c r="F104" s="1">
        <v>46068</v>
      </c>
      <c r="G104" s="1"/>
      <c r="H104">
        <v>5400</v>
      </c>
      <c r="I104" t="s">
        <v>12</v>
      </c>
      <c r="J104">
        <v>1</v>
      </c>
      <c r="K104">
        <v>5400</v>
      </c>
    </row>
    <row r="105" spans="1:11" x14ac:dyDescent="0.3">
      <c r="A105" t="s">
        <v>286</v>
      </c>
      <c r="B105" t="s">
        <v>357</v>
      </c>
      <c r="C105" t="s">
        <v>122</v>
      </c>
      <c r="D105" t="s">
        <v>19</v>
      </c>
      <c r="E105" s="1">
        <v>46054</v>
      </c>
      <c r="F105" s="1">
        <v>46097</v>
      </c>
      <c r="G105" s="1"/>
      <c r="H105">
        <v>6900</v>
      </c>
      <c r="I105" t="s">
        <v>12</v>
      </c>
      <c r="J105">
        <v>6</v>
      </c>
      <c r="K105">
        <v>41400</v>
      </c>
    </row>
    <row r="106" spans="1:11" x14ac:dyDescent="0.3">
      <c r="A106" t="s">
        <v>6033</v>
      </c>
      <c r="B106" t="s">
        <v>316</v>
      </c>
      <c r="C106" t="s">
        <v>270</v>
      </c>
      <c r="D106" t="s">
        <v>19</v>
      </c>
      <c r="E106" s="1">
        <v>46028</v>
      </c>
      <c r="F106" s="1">
        <v>46084</v>
      </c>
      <c r="G106" s="1"/>
      <c r="H106">
        <v>4000</v>
      </c>
      <c r="I106" t="s">
        <v>12</v>
      </c>
      <c r="J106">
        <v>6</v>
      </c>
      <c r="K106">
        <v>24000</v>
      </c>
    </row>
    <row r="107" spans="1:11" x14ac:dyDescent="0.3">
      <c r="A107" t="s">
        <v>288</v>
      </c>
      <c r="B107" t="s">
        <v>910</v>
      </c>
      <c r="C107" t="s">
        <v>222</v>
      </c>
      <c r="D107" t="s">
        <v>11</v>
      </c>
      <c r="E107" s="1">
        <v>46090</v>
      </c>
      <c r="F107" s="1">
        <v>46111</v>
      </c>
      <c r="G107" s="1"/>
      <c r="H107">
        <v>5200</v>
      </c>
      <c r="I107" t="s">
        <v>12</v>
      </c>
      <c r="J107">
        <v>1</v>
      </c>
      <c r="K107">
        <v>5200</v>
      </c>
    </row>
    <row r="108" spans="1:11" x14ac:dyDescent="0.3">
      <c r="A108" t="s">
        <v>290</v>
      </c>
      <c r="B108" t="s">
        <v>996</v>
      </c>
      <c r="C108" t="s">
        <v>583</v>
      </c>
      <c r="D108" t="s">
        <v>33</v>
      </c>
      <c r="E108" s="1">
        <v>46190</v>
      </c>
      <c r="F108" s="1">
        <v>46249</v>
      </c>
      <c r="G108" s="1"/>
      <c r="H108">
        <v>5500</v>
      </c>
      <c r="I108" t="s">
        <v>12</v>
      </c>
      <c r="J108">
        <v>7</v>
      </c>
      <c r="K108">
        <v>38500</v>
      </c>
    </row>
    <row r="109" spans="1:11" x14ac:dyDescent="0.3">
      <c r="A109" t="s">
        <v>292</v>
      </c>
      <c r="B109" t="s">
        <v>83</v>
      </c>
      <c r="C109" t="s">
        <v>343</v>
      </c>
      <c r="D109" t="s">
        <v>33</v>
      </c>
      <c r="E109" s="1">
        <v>46120</v>
      </c>
      <c r="F109" s="1">
        <v>46170</v>
      </c>
      <c r="G109" s="1"/>
      <c r="H109">
        <v>7000</v>
      </c>
      <c r="I109" t="s">
        <v>12</v>
      </c>
      <c r="J109">
        <v>5</v>
      </c>
      <c r="K109">
        <v>35000</v>
      </c>
    </row>
    <row r="110" spans="1:11" x14ac:dyDescent="0.3">
      <c r="A110" t="s">
        <v>6034</v>
      </c>
      <c r="B110" t="s">
        <v>1184</v>
      </c>
      <c r="C110" t="s">
        <v>214</v>
      </c>
      <c r="D110" t="s">
        <v>223</v>
      </c>
      <c r="E110" s="1">
        <v>46137</v>
      </c>
      <c r="F110" s="1">
        <v>46184</v>
      </c>
      <c r="G110" s="1">
        <v>46185</v>
      </c>
      <c r="H110">
        <v>4000</v>
      </c>
      <c r="I110" t="s">
        <v>38</v>
      </c>
      <c r="J110">
        <v>1</v>
      </c>
      <c r="K110">
        <v>4000</v>
      </c>
    </row>
    <row r="111" spans="1:11" x14ac:dyDescent="0.3">
      <c r="A111" t="s">
        <v>295</v>
      </c>
      <c r="B111" t="s">
        <v>3964</v>
      </c>
      <c r="C111" t="s">
        <v>240</v>
      </c>
      <c r="D111" t="s">
        <v>19</v>
      </c>
      <c r="E111" s="1">
        <v>46199</v>
      </c>
      <c r="F111" s="1">
        <v>46268</v>
      </c>
      <c r="G111" s="1"/>
      <c r="H111">
        <v>5400</v>
      </c>
      <c r="I111" t="s">
        <v>12</v>
      </c>
      <c r="J111">
        <v>7</v>
      </c>
      <c r="K111">
        <v>37800</v>
      </c>
    </row>
    <row r="112" spans="1:11" x14ac:dyDescent="0.3">
      <c r="A112" t="s">
        <v>297</v>
      </c>
      <c r="B112" t="s">
        <v>2655</v>
      </c>
      <c r="C112" t="s">
        <v>61</v>
      </c>
      <c r="D112" t="s">
        <v>11</v>
      </c>
      <c r="E112" s="1">
        <v>46049</v>
      </c>
      <c r="F112" s="1">
        <v>46089</v>
      </c>
      <c r="G112" s="1"/>
      <c r="H112">
        <v>3500</v>
      </c>
      <c r="I112" t="s">
        <v>12</v>
      </c>
      <c r="J112">
        <v>4</v>
      </c>
      <c r="K112">
        <v>14000</v>
      </c>
    </row>
    <row r="113" spans="1:11" x14ac:dyDescent="0.3">
      <c r="A113" t="s">
        <v>299</v>
      </c>
      <c r="B113" t="s">
        <v>434</v>
      </c>
      <c r="C113" t="s">
        <v>98</v>
      </c>
      <c r="D113" t="s">
        <v>26</v>
      </c>
      <c r="E113" s="1">
        <v>46128</v>
      </c>
      <c r="F113" s="1">
        <v>46174</v>
      </c>
      <c r="G113" s="1"/>
      <c r="H113">
        <v>6700</v>
      </c>
      <c r="I113" t="s">
        <v>12</v>
      </c>
      <c r="J113">
        <v>7</v>
      </c>
      <c r="K113">
        <v>46900</v>
      </c>
    </row>
    <row r="114" spans="1:11" x14ac:dyDescent="0.3">
      <c r="A114" t="s">
        <v>301</v>
      </c>
      <c r="B114" t="s">
        <v>3669</v>
      </c>
      <c r="C114" t="s">
        <v>122</v>
      </c>
      <c r="D114" t="s">
        <v>19</v>
      </c>
      <c r="E114" s="1">
        <v>46076</v>
      </c>
      <c r="F114" s="1">
        <v>46128</v>
      </c>
      <c r="G114" s="1"/>
      <c r="H114">
        <v>6900</v>
      </c>
      <c r="I114" t="s">
        <v>12</v>
      </c>
      <c r="J114">
        <v>3</v>
      </c>
      <c r="K114">
        <v>20700</v>
      </c>
    </row>
    <row r="115" spans="1:11" x14ac:dyDescent="0.3">
      <c r="A115" t="s">
        <v>303</v>
      </c>
      <c r="B115" t="s">
        <v>507</v>
      </c>
      <c r="C115" t="s">
        <v>84</v>
      </c>
      <c r="D115" t="s">
        <v>42</v>
      </c>
      <c r="E115" s="1">
        <v>46168</v>
      </c>
      <c r="F115" s="1">
        <v>46170</v>
      </c>
      <c r="G115" s="1"/>
      <c r="H115">
        <v>5200</v>
      </c>
      <c r="I115" t="s">
        <v>49</v>
      </c>
      <c r="J115">
        <v>2</v>
      </c>
      <c r="K115">
        <v>10400</v>
      </c>
    </row>
    <row r="116" spans="1:11" x14ac:dyDescent="0.3">
      <c r="A116" t="s">
        <v>305</v>
      </c>
      <c r="B116" t="s">
        <v>2729</v>
      </c>
      <c r="C116" t="s">
        <v>188</v>
      </c>
      <c r="D116" t="s">
        <v>58</v>
      </c>
      <c r="E116" s="1">
        <v>46056</v>
      </c>
      <c r="F116" s="1">
        <v>46086</v>
      </c>
      <c r="G116" s="1">
        <v>46093</v>
      </c>
      <c r="H116">
        <v>6500</v>
      </c>
      <c r="I116" t="s">
        <v>38</v>
      </c>
      <c r="J116">
        <v>7</v>
      </c>
      <c r="K116">
        <v>45500</v>
      </c>
    </row>
    <row r="117" spans="1:11" x14ac:dyDescent="0.3">
      <c r="A117" t="s">
        <v>307</v>
      </c>
      <c r="B117" t="s">
        <v>930</v>
      </c>
      <c r="C117" t="s">
        <v>81</v>
      </c>
      <c r="D117" t="s">
        <v>37</v>
      </c>
      <c r="E117" s="1">
        <v>46108</v>
      </c>
      <c r="F117" s="1">
        <v>46114</v>
      </c>
      <c r="G117" s="1">
        <v>46120</v>
      </c>
      <c r="H117">
        <v>4200</v>
      </c>
      <c r="I117" t="s">
        <v>38</v>
      </c>
      <c r="J117">
        <v>6</v>
      </c>
      <c r="K117">
        <v>25200</v>
      </c>
    </row>
    <row r="118" spans="1:11" x14ac:dyDescent="0.3">
      <c r="A118" t="s">
        <v>309</v>
      </c>
      <c r="B118" t="s">
        <v>1625</v>
      </c>
      <c r="C118" t="s">
        <v>32</v>
      </c>
      <c r="D118" t="s">
        <v>95</v>
      </c>
      <c r="E118" s="1">
        <v>46118</v>
      </c>
      <c r="F118" s="1">
        <v>46158</v>
      </c>
      <c r="G118" s="1">
        <v>46162</v>
      </c>
      <c r="H118">
        <v>7000</v>
      </c>
      <c r="I118" t="s">
        <v>38</v>
      </c>
      <c r="J118">
        <v>4</v>
      </c>
      <c r="K118">
        <v>28000</v>
      </c>
    </row>
    <row r="119" spans="1:11" x14ac:dyDescent="0.3">
      <c r="A119" t="s">
        <v>311</v>
      </c>
      <c r="B119" t="s">
        <v>4436</v>
      </c>
      <c r="C119" t="s">
        <v>182</v>
      </c>
      <c r="D119" t="s">
        <v>26</v>
      </c>
      <c r="E119" s="1">
        <v>46085</v>
      </c>
      <c r="F119" s="1">
        <v>46145</v>
      </c>
      <c r="G119" s="1"/>
      <c r="H119">
        <v>7000</v>
      </c>
      <c r="I119" t="s">
        <v>12</v>
      </c>
      <c r="J119">
        <v>1</v>
      </c>
      <c r="K119">
        <v>7000</v>
      </c>
    </row>
    <row r="120" spans="1:11" x14ac:dyDescent="0.3">
      <c r="A120" t="s">
        <v>313</v>
      </c>
      <c r="B120" t="s">
        <v>2691</v>
      </c>
      <c r="C120" t="s">
        <v>338</v>
      </c>
      <c r="D120" t="s">
        <v>237</v>
      </c>
      <c r="E120" s="1">
        <v>46108</v>
      </c>
      <c r="F120" s="1">
        <v>46121</v>
      </c>
      <c r="G120" s="1">
        <v>46127</v>
      </c>
      <c r="H120">
        <v>7700</v>
      </c>
      <c r="I120" t="s">
        <v>38</v>
      </c>
      <c r="J120">
        <v>6</v>
      </c>
      <c r="K120">
        <v>46200</v>
      </c>
    </row>
    <row r="121" spans="1:11" x14ac:dyDescent="0.3">
      <c r="A121" t="s">
        <v>315</v>
      </c>
      <c r="B121" t="s">
        <v>4363</v>
      </c>
      <c r="C121" t="s">
        <v>64</v>
      </c>
      <c r="D121" t="s">
        <v>11</v>
      </c>
      <c r="E121" s="1">
        <v>46115</v>
      </c>
      <c r="F121" s="1">
        <v>46157</v>
      </c>
      <c r="G121" s="1"/>
      <c r="H121">
        <v>4700</v>
      </c>
      <c r="I121" t="s">
        <v>12</v>
      </c>
      <c r="J121">
        <v>1</v>
      </c>
      <c r="K121">
        <v>4700</v>
      </c>
    </row>
    <row r="122" spans="1:11" x14ac:dyDescent="0.3">
      <c r="A122" t="s">
        <v>318</v>
      </c>
      <c r="B122" t="s">
        <v>4059</v>
      </c>
      <c r="C122" t="s">
        <v>594</v>
      </c>
      <c r="D122" t="s">
        <v>11</v>
      </c>
      <c r="E122" s="1">
        <v>46186</v>
      </c>
      <c r="F122" s="1">
        <v>46206</v>
      </c>
      <c r="G122" s="1"/>
      <c r="H122">
        <v>6500</v>
      </c>
      <c r="I122" t="s">
        <v>12</v>
      </c>
      <c r="J122">
        <v>5</v>
      </c>
      <c r="K122">
        <v>32500</v>
      </c>
    </row>
    <row r="123" spans="1:11" x14ac:dyDescent="0.3">
      <c r="A123" t="s">
        <v>6035</v>
      </c>
      <c r="B123" t="s">
        <v>2991</v>
      </c>
      <c r="C123" t="s">
        <v>366</v>
      </c>
      <c r="D123" t="s">
        <v>26</v>
      </c>
      <c r="E123" s="1">
        <v>46055</v>
      </c>
      <c r="F123" s="1">
        <v>46140</v>
      </c>
      <c r="G123" s="1"/>
      <c r="H123">
        <v>7700</v>
      </c>
      <c r="I123" t="s">
        <v>12</v>
      </c>
      <c r="J123">
        <v>4</v>
      </c>
      <c r="K123">
        <v>30800</v>
      </c>
    </row>
    <row r="124" spans="1:11" x14ac:dyDescent="0.3">
      <c r="A124" t="s">
        <v>320</v>
      </c>
      <c r="B124" t="s">
        <v>1252</v>
      </c>
      <c r="C124" t="s">
        <v>41</v>
      </c>
      <c r="D124" t="s">
        <v>58</v>
      </c>
      <c r="E124" s="1">
        <v>46176</v>
      </c>
      <c r="F124" s="1">
        <v>46225</v>
      </c>
      <c r="G124" s="1">
        <v>46227</v>
      </c>
      <c r="H124">
        <v>5500</v>
      </c>
      <c r="I124" t="s">
        <v>38</v>
      </c>
      <c r="J124">
        <v>2</v>
      </c>
      <c r="K124">
        <v>11000</v>
      </c>
    </row>
    <row r="125" spans="1:11" x14ac:dyDescent="0.3">
      <c r="A125" t="s">
        <v>322</v>
      </c>
      <c r="B125" t="s">
        <v>3520</v>
      </c>
      <c r="C125" t="s">
        <v>61</v>
      </c>
      <c r="D125" t="s">
        <v>11</v>
      </c>
      <c r="E125" s="1">
        <v>46078</v>
      </c>
      <c r="F125" s="1">
        <v>46102</v>
      </c>
      <c r="G125" s="1"/>
      <c r="H125">
        <v>3500</v>
      </c>
      <c r="I125" t="s">
        <v>12</v>
      </c>
      <c r="J125">
        <v>3</v>
      </c>
      <c r="K125">
        <v>10500</v>
      </c>
    </row>
    <row r="126" spans="1:11" x14ac:dyDescent="0.3">
      <c r="A126" t="s">
        <v>324</v>
      </c>
      <c r="B126" t="s">
        <v>265</v>
      </c>
      <c r="C126" t="s">
        <v>263</v>
      </c>
      <c r="D126" t="s">
        <v>26</v>
      </c>
      <c r="E126" s="1">
        <v>46170</v>
      </c>
      <c r="F126" s="1">
        <v>46232</v>
      </c>
      <c r="G126" s="1"/>
      <c r="H126">
        <v>4800</v>
      </c>
      <c r="I126" t="s">
        <v>12</v>
      </c>
      <c r="J126">
        <v>2</v>
      </c>
      <c r="K126">
        <v>9600</v>
      </c>
    </row>
    <row r="127" spans="1:11" x14ac:dyDescent="0.3">
      <c r="A127" t="s">
        <v>327</v>
      </c>
      <c r="B127" t="s">
        <v>1922</v>
      </c>
      <c r="C127" t="s">
        <v>41</v>
      </c>
      <c r="D127" t="s">
        <v>223</v>
      </c>
      <c r="E127" s="1">
        <v>46149</v>
      </c>
      <c r="F127" s="1">
        <v>46170</v>
      </c>
      <c r="G127" s="1">
        <v>46172</v>
      </c>
      <c r="H127">
        <v>5500</v>
      </c>
      <c r="I127" t="s">
        <v>38</v>
      </c>
      <c r="J127">
        <v>2</v>
      </c>
      <c r="K127">
        <v>11000</v>
      </c>
    </row>
    <row r="128" spans="1:11" x14ac:dyDescent="0.3">
      <c r="A128" t="s">
        <v>329</v>
      </c>
      <c r="B128" t="s">
        <v>1493</v>
      </c>
      <c r="C128" t="s">
        <v>424</v>
      </c>
      <c r="D128" t="s">
        <v>48</v>
      </c>
      <c r="E128" s="1">
        <v>46030</v>
      </c>
      <c r="F128" s="1">
        <v>46076</v>
      </c>
      <c r="G128" s="1">
        <v>46079</v>
      </c>
      <c r="H128">
        <v>7000</v>
      </c>
      <c r="I128" t="s">
        <v>38</v>
      </c>
      <c r="J128">
        <v>3</v>
      </c>
      <c r="K128">
        <v>21000</v>
      </c>
    </row>
    <row r="129" spans="1:11" x14ac:dyDescent="0.3">
      <c r="A129" t="s">
        <v>331</v>
      </c>
      <c r="B129" t="s">
        <v>1729</v>
      </c>
      <c r="C129" t="s">
        <v>87</v>
      </c>
      <c r="D129" t="s">
        <v>19</v>
      </c>
      <c r="E129" s="1">
        <v>46062</v>
      </c>
      <c r="F129" s="1">
        <v>46110</v>
      </c>
      <c r="G129" s="1"/>
      <c r="H129">
        <v>5000</v>
      </c>
      <c r="I129" t="s">
        <v>12</v>
      </c>
      <c r="J129">
        <v>2</v>
      </c>
      <c r="K129">
        <v>10000</v>
      </c>
    </row>
    <row r="130" spans="1:11" x14ac:dyDescent="0.3">
      <c r="A130" t="s">
        <v>333</v>
      </c>
      <c r="B130" t="s">
        <v>334</v>
      </c>
      <c r="C130" t="s">
        <v>73</v>
      </c>
      <c r="D130" t="s">
        <v>11</v>
      </c>
      <c r="E130" s="1">
        <v>46182</v>
      </c>
      <c r="F130" s="1">
        <v>46261</v>
      </c>
      <c r="G130" s="1"/>
      <c r="H130">
        <v>7800</v>
      </c>
      <c r="I130" t="s">
        <v>12</v>
      </c>
      <c r="J130">
        <v>7</v>
      </c>
      <c r="K130">
        <v>54600</v>
      </c>
    </row>
    <row r="131" spans="1:11" x14ac:dyDescent="0.3">
      <c r="A131" t="s">
        <v>336</v>
      </c>
      <c r="B131" t="s">
        <v>3520</v>
      </c>
      <c r="C131" t="s">
        <v>343</v>
      </c>
      <c r="D131" t="s">
        <v>11</v>
      </c>
      <c r="E131" s="1">
        <v>46177</v>
      </c>
      <c r="F131" s="1">
        <v>46236</v>
      </c>
      <c r="G131" s="1"/>
      <c r="H131">
        <v>7000</v>
      </c>
      <c r="I131" t="s">
        <v>12</v>
      </c>
      <c r="J131">
        <v>3</v>
      </c>
      <c r="K131">
        <v>21000</v>
      </c>
    </row>
    <row r="132" spans="1:11" x14ac:dyDescent="0.3">
      <c r="A132" t="s">
        <v>339</v>
      </c>
      <c r="B132" t="s">
        <v>496</v>
      </c>
      <c r="C132" t="s">
        <v>36</v>
      </c>
      <c r="D132" t="s">
        <v>37</v>
      </c>
      <c r="E132" s="1">
        <v>46200</v>
      </c>
      <c r="F132" s="1">
        <v>46235</v>
      </c>
      <c r="G132" s="1">
        <v>46239</v>
      </c>
      <c r="H132">
        <v>7000</v>
      </c>
      <c r="I132" t="s">
        <v>38</v>
      </c>
      <c r="J132">
        <v>4</v>
      </c>
      <c r="K132">
        <v>28000</v>
      </c>
    </row>
    <row r="133" spans="1:11" x14ac:dyDescent="0.3">
      <c r="A133" t="s">
        <v>341</v>
      </c>
      <c r="B133" t="s">
        <v>2185</v>
      </c>
      <c r="C133" t="s">
        <v>146</v>
      </c>
      <c r="D133" t="s">
        <v>19</v>
      </c>
      <c r="E133" s="1">
        <v>46195</v>
      </c>
      <c r="F133" s="1">
        <v>46216</v>
      </c>
      <c r="G133" s="1"/>
      <c r="H133">
        <v>4700</v>
      </c>
      <c r="I133" t="s">
        <v>12</v>
      </c>
      <c r="J133">
        <v>7</v>
      </c>
      <c r="K133">
        <v>32900</v>
      </c>
    </row>
    <row r="134" spans="1:11" x14ac:dyDescent="0.3">
      <c r="A134" t="s">
        <v>344</v>
      </c>
      <c r="B134" t="s">
        <v>887</v>
      </c>
      <c r="C134" t="s">
        <v>294</v>
      </c>
      <c r="D134" t="s">
        <v>11</v>
      </c>
      <c r="E134" s="1">
        <v>46057</v>
      </c>
      <c r="F134" s="1">
        <v>46071</v>
      </c>
      <c r="G134" s="1"/>
      <c r="H134">
        <v>6400</v>
      </c>
      <c r="I134" t="s">
        <v>12</v>
      </c>
      <c r="J134">
        <v>1</v>
      </c>
      <c r="K134">
        <v>6400</v>
      </c>
    </row>
    <row r="135" spans="1:11" x14ac:dyDescent="0.3">
      <c r="A135" t="s">
        <v>6036</v>
      </c>
      <c r="B135" t="s">
        <v>3583</v>
      </c>
      <c r="C135" t="s">
        <v>222</v>
      </c>
      <c r="D135" t="s">
        <v>11</v>
      </c>
      <c r="E135" s="1">
        <v>46161</v>
      </c>
      <c r="F135" s="1">
        <v>46209</v>
      </c>
      <c r="G135" s="1"/>
      <c r="H135">
        <v>5200</v>
      </c>
      <c r="I135" t="s">
        <v>12</v>
      </c>
      <c r="J135">
        <v>1</v>
      </c>
      <c r="K135">
        <v>5200</v>
      </c>
    </row>
    <row r="136" spans="1:11" x14ac:dyDescent="0.3">
      <c r="A136" t="s">
        <v>346</v>
      </c>
      <c r="B136" t="s">
        <v>658</v>
      </c>
      <c r="C136" t="s">
        <v>67</v>
      </c>
      <c r="D136" t="s">
        <v>26</v>
      </c>
      <c r="E136" s="1">
        <v>46126</v>
      </c>
      <c r="F136" s="1">
        <v>46143</v>
      </c>
      <c r="G136" s="1"/>
      <c r="H136">
        <v>9000</v>
      </c>
      <c r="I136" t="s">
        <v>12</v>
      </c>
      <c r="J136">
        <v>4</v>
      </c>
      <c r="K136">
        <v>36000</v>
      </c>
    </row>
    <row r="137" spans="1:11" x14ac:dyDescent="0.3">
      <c r="A137" t="s">
        <v>348</v>
      </c>
      <c r="B137" t="s">
        <v>833</v>
      </c>
      <c r="C137" t="s">
        <v>143</v>
      </c>
      <c r="D137" t="s">
        <v>48</v>
      </c>
      <c r="E137" s="1">
        <v>46025</v>
      </c>
      <c r="F137" s="1">
        <v>46063</v>
      </c>
      <c r="G137" s="1">
        <v>46069</v>
      </c>
      <c r="H137">
        <v>5400</v>
      </c>
      <c r="I137" t="s">
        <v>38</v>
      </c>
      <c r="J137">
        <v>6</v>
      </c>
      <c r="K137">
        <v>32400</v>
      </c>
    </row>
    <row r="138" spans="1:11" x14ac:dyDescent="0.3">
      <c r="A138" t="s">
        <v>6037</v>
      </c>
      <c r="B138" t="s">
        <v>1086</v>
      </c>
      <c r="C138" t="s">
        <v>219</v>
      </c>
      <c r="D138" t="s">
        <v>19</v>
      </c>
      <c r="E138" s="1">
        <v>46203</v>
      </c>
      <c r="F138" s="1"/>
      <c r="G138" s="1"/>
      <c r="H138">
        <v>4700</v>
      </c>
      <c r="I138" t="s">
        <v>76</v>
      </c>
      <c r="J138">
        <v>0</v>
      </c>
      <c r="K138">
        <v>0</v>
      </c>
    </row>
    <row r="139" spans="1:11" x14ac:dyDescent="0.3">
      <c r="A139" t="s">
        <v>350</v>
      </c>
      <c r="B139" t="s">
        <v>1150</v>
      </c>
      <c r="C139" t="s">
        <v>152</v>
      </c>
      <c r="D139" t="s">
        <v>26</v>
      </c>
      <c r="E139" s="1">
        <v>46052</v>
      </c>
      <c r="F139" s="1">
        <v>46070</v>
      </c>
      <c r="G139" s="1"/>
      <c r="H139">
        <v>7800</v>
      </c>
      <c r="I139" t="s">
        <v>12</v>
      </c>
      <c r="J139">
        <v>3</v>
      </c>
      <c r="K139">
        <v>23400</v>
      </c>
    </row>
    <row r="140" spans="1:11" x14ac:dyDescent="0.3">
      <c r="A140" t="s">
        <v>352</v>
      </c>
      <c r="B140" t="s">
        <v>2482</v>
      </c>
      <c r="C140" t="s">
        <v>36</v>
      </c>
      <c r="D140" t="s">
        <v>19</v>
      </c>
      <c r="E140" s="1">
        <v>46135</v>
      </c>
      <c r="F140" s="1">
        <v>46152</v>
      </c>
      <c r="G140" s="1"/>
      <c r="H140">
        <v>7000</v>
      </c>
      <c r="I140" t="s">
        <v>12</v>
      </c>
      <c r="J140">
        <v>3</v>
      </c>
      <c r="K140">
        <v>21000</v>
      </c>
    </row>
    <row r="141" spans="1:11" x14ac:dyDescent="0.3">
      <c r="A141" t="s">
        <v>354</v>
      </c>
      <c r="B141" t="s">
        <v>83</v>
      </c>
      <c r="C141" t="s">
        <v>57</v>
      </c>
      <c r="D141" t="s">
        <v>33</v>
      </c>
      <c r="E141" s="1">
        <v>46196</v>
      </c>
      <c r="F141" s="1">
        <v>46229</v>
      </c>
      <c r="G141" s="1"/>
      <c r="H141">
        <v>7700</v>
      </c>
      <c r="I141" t="s">
        <v>12</v>
      </c>
      <c r="J141">
        <v>7</v>
      </c>
      <c r="K141">
        <v>53900</v>
      </c>
    </row>
    <row r="142" spans="1:11" x14ac:dyDescent="0.3">
      <c r="A142" t="s">
        <v>6038</v>
      </c>
      <c r="B142" t="s">
        <v>918</v>
      </c>
      <c r="C142" t="s">
        <v>222</v>
      </c>
      <c r="D142" t="s">
        <v>26</v>
      </c>
      <c r="E142" s="1">
        <v>46027</v>
      </c>
      <c r="F142" s="1">
        <v>46051</v>
      </c>
      <c r="G142" s="1"/>
      <c r="H142">
        <v>5200</v>
      </c>
      <c r="I142" t="s">
        <v>12</v>
      </c>
      <c r="J142">
        <v>6</v>
      </c>
      <c r="K142">
        <v>31200</v>
      </c>
    </row>
    <row r="143" spans="1:11" x14ac:dyDescent="0.3">
      <c r="A143" t="s">
        <v>356</v>
      </c>
      <c r="B143" t="s">
        <v>4292</v>
      </c>
      <c r="C143" t="s">
        <v>149</v>
      </c>
      <c r="D143" t="s">
        <v>48</v>
      </c>
      <c r="E143" s="1">
        <v>46045</v>
      </c>
      <c r="F143" s="1">
        <v>46047</v>
      </c>
      <c r="G143" s="1"/>
      <c r="H143">
        <v>6000</v>
      </c>
      <c r="I143" t="s">
        <v>49</v>
      </c>
      <c r="J143">
        <v>1</v>
      </c>
      <c r="K143">
        <v>6000</v>
      </c>
    </row>
    <row r="144" spans="1:11" x14ac:dyDescent="0.3">
      <c r="A144" t="s">
        <v>358</v>
      </c>
      <c r="B144" t="s">
        <v>4385</v>
      </c>
      <c r="C144" t="s">
        <v>175</v>
      </c>
      <c r="D144" t="s">
        <v>37</v>
      </c>
      <c r="E144" s="1">
        <v>46091</v>
      </c>
      <c r="F144" s="1">
        <v>46145</v>
      </c>
      <c r="G144" s="1">
        <v>46146</v>
      </c>
      <c r="H144">
        <v>6200</v>
      </c>
      <c r="I144" t="s">
        <v>38</v>
      </c>
      <c r="J144">
        <v>1</v>
      </c>
      <c r="K144">
        <v>6200</v>
      </c>
    </row>
    <row r="145" spans="1:11" x14ac:dyDescent="0.3">
      <c r="A145" t="s">
        <v>360</v>
      </c>
      <c r="B145" t="s">
        <v>2064</v>
      </c>
      <c r="C145" t="s">
        <v>175</v>
      </c>
      <c r="D145" t="s">
        <v>19</v>
      </c>
      <c r="E145" s="1">
        <v>46129</v>
      </c>
      <c r="F145" s="1">
        <v>46176</v>
      </c>
      <c r="G145" s="1"/>
      <c r="H145">
        <v>6200</v>
      </c>
      <c r="I145" t="s">
        <v>12</v>
      </c>
      <c r="J145">
        <v>5</v>
      </c>
      <c r="K145">
        <v>31000</v>
      </c>
    </row>
    <row r="146" spans="1:11" x14ac:dyDescent="0.3">
      <c r="A146" t="s">
        <v>362</v>
      </c>
      <c r="B146" t="s">
        <v>503</v>
      </c>
      <c r="C146" t="s">
        <v>119</v>
      </c>
      <c r="D146" t="s">
        <v>11</v>
      </c>
      <c r="E146" s="1">
        <v>46047</v>
      </c>
      <c r="F146" s="1">
        <v>46127</v>
      </c>
      <c r="G146" s="1"/>
      <c r="H146">
        <v>4700</v>
      </c>
      <c r="I146" t="s">
        <v>12</v>
      </c>
      <c r="J146">
        <v>1</v>
      </c>
      <c r="K146">
        <v>4700</v>
      </c>
    </row>
    <row r="147" spans="1:11" x14ac:dyDescent="0.3">
      <c r="A147" t="s">
        <v>364</v>
      </c>
      <c r="B147" t="s">
        <v>745</v>
      </c>
      <c r="C147" t="s">
        <v>896</v>
      </c>
      <c r="D147" t="s">
        <v>37</v>
      </c>
      <c r="E147" s="1">
        <v>46164</v>
      </c>
      <c r="F147" s="1">
        <v>46220</v>
      </c>
      <c r="G147" s="1">
        <v>46227</v>
      </c>
      <c r="H147">
        <v>6200</v>
      </c>
      <c r="I147" t="s">
        <v>38</v>
      </c>
      <c r="J147">
        <v>7</v>
      </c>
      <c r="K147">
        <v>43400</v>
      </c>
    </row>
    <row r="148" spans="1:11" x14ac:dyDescent="0.3">
      <c r="A148" t="s">
        <v>367</v>
      </c>
      <c r="B148" t="s">
        <v>4013</v>
      </c>
      <c r="C148" t="s">
        <v>25</v>
      </c>
      <c r="D148" t="s">
        <v>37</v>
      </c>
      <c r="E148" s="1">
        <v>46181</v>
      </c>
      <c r="F148" s="1">
        <v>46181</v>
      </c>
      <c r="G148" s="1"/>
      <c r="H148">
        <v>6700</v>
      </c>
      <c r="I148" t="s">
        <v>49</v>
      </c>
      <c r="J148">
        <v>1</v>
      </c>
      <c r="K148">
        <v>6700</v>
      </c>
    </row>
    <row r="149" spans="1:11" x14ac:dyDescent="0.3">
      <c r="A149" t="s">
        <v>369</v>
      </c>
      <c r="B149" t="s">
        <v>4201</v>
      </c>
      <c r="C149" t="s">
        <v>228</v>
      </c>
      <c r="D149" t="s">
        <v>223</v>
      </c>
      <c r="E149" s="1">
        <v>46037</v>
      </c>
      <c r="F149" s="1">
        <v>46060</v>
      </c>
      <c r="G149" s="1">
        <v>46066</v>
      </c>
      <c r="H149">
        <v>7200</v>
      </c>
      <c r="I149" t="s">
        <v>38</v>
      </c>
      <c r="J149">
        <v>6</v>
      </c>
      <c r="K149">
        <v>43200</v>
      </c>
    </row>
    <row r="150" spans="1:11" x14ac:dyDescent="0.3">
      <c r="A150" t="s">
        <v>371</v>
      </c>
      <c r="B150" t="s">
        <v>688</v>
      </c>
      <c r="C150" t="s">
        <v>122</v>
      </c>
      <c r="D150" t="s">
        <v>19</v>
      </c>
      <c r="E150" s="1">
        <v>46100</v>
      </c>
      <c r="F150" s="1">
        <v>46170</v>
      </c>
      <c r="G150" s="1"/>
      <c r="H150">
        <v>6900</v>
      </c>
      <c r="I150" t="s">
        <v>12</v>
      </c>
      <c r="J150">
        <v>2</v>
      </c>
      <c r="K150">
        <v>13800</v>
      </c>
    </row>
    <row r="151" spans="1:11" x14ac:dyDescent="0.3">
      <c r="A151" t="s">
        <v>373</v>
      </c>
      <c r="B151" t="s">
        <v>2387</v>
      </c>
      <c r="C151" t="s">
        <v>711</v>
      </c>
      <c r="D151" t="s">
        <v>48</v>
      </c>
      <c r="E151" s="1">
        <v>46144</v>
      </c>
      <c r="F151" s="1">
        <v>46144</v>
      </c>
      <c r="G151" s="1"/>
      <c r="H151">
        <v>7000</v>
      </c>
      <c r="I151" t="s">
        <v>49</v>
      </c>
      <c r="J151">
        <v>6</v>
      </c>
      <c r="K151">
        <v>42000</v>
      </c>
    </row>
    <row r="152" spans="1:11" x14ac:dyDescent="0.3">
      <c r="A152" t="s">
        <v>375</v>
      </c>
      <c r="B152" t="s">
        <v>4013</v>
      </c>
      <c r="C152" t="s">
        <v>165</v>
      </c>
      <c r="D152" t="s">
        <v>37</v>
      </c>
      <c r="E152" s="1">
        <v>46197</v>
      </c>
      <c r="F152" s="1">
        <v>46208</v>
      </c>
      <c r="G152" s="1">
        <v>46211</v>
      </c>
      <c r="H152">
        <v>5200</v>
      </c>
      <c r="I152" t="s">
        <v>38</v>
      </c>
      <c r="J152">
        <v>3</v>
      </c>
      <c r="K152">
        <v>15600</v>
      </c>
    </row>
    <row r="153" spans="1:11" x14ac:dyDescent="0.3">
      <c r="A153" t="s">
        <v>377</v>
      </c>
      <c r="B153" t="s">
        <v>3350</v>
      </c>
      <c r="C153" t="s">
        <v>81</v>
      </c>
      <c r="D153" t="s">
        <v>19</v>
      </c>
      <c r="E153" s="1">
        <v>46072</v>
      </c>
      <c r="F153" s="1"/>
      <c r="G153" s="1"/>
      <c r="H153">
        <v>4200</v>
      </c>
      <c r="I153" t="s">
        <v>76</v>
      </c>
      <c r="J153">
        <v>0</v>
      </c>
      <c r="K153">
        <v>0</v>
      </c>
    </row>
    <row r="154" spans="1:11" x14ac:dyDescent="0.3">
      <c r="A154" t="s">
        <v>379</v>
      </c>
      <c r="B154" t="s">
        <v>3233</v>
      </c>
      <c r="C154" t="s">
        <v>214</v>
      </c>
      <c r="D154" t="s">
        <v>33</v>
      </c>
      <c r="E154" s="1">
        <v>46182</v>
      </c>
      <c r="F154" s="1">
        <v>46265</v>
      </c>
      <c r="G154" s="1"/>
      <c r="H154">
        <v>4000</v>
      </c>
      <c r="I154" t="s">
        <v>12</v>
      </c>
      <c r="J154">
        <v>5</v>
      </c>
      <c r="K154">
        <v>20000</v>
      </c>
    </row>
    <row r="155" spans="1:11" x14ac:dyDescent="0.3">
      <c r="A155" t="s">
        <v>381</v>
      </c>
      <c r="B155" t="s">
        <v>3108</v>
      </c>
      <c r="C155" t="s">
        <v>896</v>
      </c>
      <c r="D155" t="s">
        <v>11</v>
      </c>
      <c r="E155" s="1">
        <v>46198</v>
      </c>
      <c r="F155" s="1">
        <v>46273</v>
      </c>
      <c r="G155" s="1"/>
      <c r="H155">
        <v>6200</v>
      </c>
      <c r="I155" t="s">
        <v>12</v>
      </c>
      <c r="J155">
        <v>2</v>
      </c>
      <c r="K155">
        <v>12400</v>
      </c>
    </row>
    <row r="156" spans="1:11" x14ac:dyDescent="0.3">
      <c r="A156" t="s">
        <v>383</v>
      </c>
      <c r="B156" t="s">
        <v>938</v>
      </c>
      <c r="C156" t="s">
        <v>61</v>
      </c>
      <c r="D156" t="s">
        <v>95</v>
      </c>
      <c r="E156" s="1">
        <v>46106</v>
      </c>
      <c r="F156" s="1">
        <v>46144</v>
      </c>
      <c r="G156" s="1">
        <v>46145</v>
      </c>
      <c r="H156">
        <v>3500</v>
      </c>
      <c r="I156" t="s">
        <v>38</v>
      </c>
      <c r="J156">
        <v>1</v>
      </c>
      <c r="K156">
        <v>3500</v>
      </c>
    </row>
    <row r="157" spans="1:11" x14ac:dyDescent="0.3">
      <c r="A157" t="s">
        <v>385</v>
      </c>
      <c r="B157" t="s">
        <v>974</v>
      </c>
      <c r="C157" t="s">
        <v>159</v>
      </c>
      <c r="D157" t="s">
        <v>42</v>
      </c>
      <c r="E157" s="1">
        <v>46124</v>
      </c>
      <c r="F157" s="1">
        <v>46125</v>
      </c>
      <c r="G157" s="1"/>
      <c r="H157">
        <v>7200</v>
      </c>
      <c r="I157" t="s">
        <v>49</v>
      </c>
      <c r="J157">
        <v>6</v>
      </c>
      <c r="K157">
        <v>43200</v>
      </c>
    </row>
    <row r="158" spans="1:11" x14ac:dyDescent="0.3">
      <c r="A158" t="s">
        <v>387</v>
      </c>
      <c r="B158" t="s">
        <v>3680</v>
      </c>
      <c r="C158" t="s">
        <v>36</v>
      </c>
      <c r="D158" t="s">
        <v>19</v>
      </c>
      <c r="E158" s="1">
        <v>46025</v>
      </c>
      <c r="F158" s="1">
        <v>46071</v>
      </c>
      <c r="G158" s="1"/>
      <c r="H158">
        <v>7000</v>
      </c>
      <c r="I158" t="s">
        <v>12</v>
      </c>
      <c r="J158">
        <v>2</v>
      </c>
      <c r="K158">
        <v>14000</v>
      </c>
    </row>
    <row r="159" spans="1:11" x14ac:dyDescent="0.3">
      <c r="A159" t="s">
        <v>6039</v>
      </c>
      <c r="B159" t="s">
        <v>2147</v>
      </c>
      <c r="C159" t="s">
        <v>87</v>
      </c>
      <c r="D159" t="s">
        <v>19</v>
      </c>
      <c r="E159" s="1">
        <v>46149</v>
      </c>
      <c r="F159" s="1">
        <v>46238</v>
      </c>
      <c r="G159" s="1"/>
      <c r="H159">
        <v>5000</v>
      </c>
      <c r="I159" t="s">
        <v>12</v>
      </c>
      <c r="J159">
        <v>6</v>
      </c>
      <c r="K159">
        <v>30000</v>
      </c>
    </row>
    <row r="160" spans="1:11" x14ac:dyDescent="0.3">
      <c r="A160" t="s">
        <v>390</v>
      </c>
      <c r="B160" t="s">
        <v>2961</v>
      </c>
      <c r="C160" t="s">
        <v>92</v>
      </c>
      <c r="D160" t="s">
        <v>95</v>
      </c>
      <c r="E160" s="1">
        <v>46146</v>
      </c>
      <c r="F160" s="1">
        <v>46146</v>
      </c>
      <c r="G160" s="1"/>
      <c r="H160">
        <v>4200</v>
      </c>
      <c r="I160" t="s">
        <v>49</v>
      </c>
      <c r="J160">
        <v>1</v>
      </c>
      <c r="K160">
        <v>4200</v>
      </c>
    </row>
    <row r="161" spans="1:11" x14ac:dyDescent="0.3">
      <c r="A161" t="s">
        <v>392</v>
      </c>
      <c r="B161" t="s">
        <v>4128</v>
      </c>
      <c r="C161" t="s">
        <v>125</v>
      </c>
      <c r="D161" t="s">
        <v>33</v>
      </c>
      <c r="E161" s="1">
        <v>46165</v>
      </c>
      <c r="F161" s="1">
        <v>46229</v>
      </c>
      <c r="G161" s="1"/>
      <c r="H161">
        <v>4800</v>
      </c>
      <c r="I161" t="s">
        <v>12</v>
      </c>
      <c r="J161">
        <v>2</v>
      </c>
      <c r="K161">
        <v>9600</v>
      </c>
    </row>
    <row r="162" spans="1:11" x14ac:dyDescent="0.3">
      <c r="A162" t="s">
        <v>394</v>
      </c>
      <c r="B162" t="s">
        <v>1611</v>
      </c>
      <c r="C162" t="s">
        <v>175</v>
      </c>
      <c r="D162" t="s">
        <v>19</v>
      </c>
      <c r="E162" s="1">
        <v>46159</v>
      </c>
      <c r="F162" s="1">
        <v>46189</v>
      </c>
      <c r="G162" s="1"/>
      <c r="H162">
        <v>6200</v>
      </c>
      <c r="I162" t="s">
        <v>12</v>
      </c>
      <c r="J162">
        <v>7</v>
      </c>
      <c r="K162">
        <v>43400</v>
      </c>
    </row>
    <row r="163" spans="1:11" x14ac:dyDescent="0.3">
      <c r="A163" t="s">
        <v>396</v>
      </c>
      <c r="B163" t="s">
        <v>3698</v>
      </c>
      <c r="C163" t="s">
        <v>255</v>
      </c>
      <c r="D163" t="s">
        <v>11</v>
      </c>
      <c r="E163" s="1">
        <v>46170</v>
      </c>
      <c r="F163" s="1">
        <v>46236</v>
      </c>
      <c r="G163" s="1"/>
      <c r="H163">
        <v>4200</v>
      </c>
      <c r="I163" t="s">
        <v>12</v>
      </c>
      <c r="J163">
        <v>5</v>
      </c>
      <c r="K163">
        <v>21000</v>
      </c>
    </row>
    <row r="164" spans="1:11" x14ac:dyDescent="0.3">
      <c r="A164" t="s">
        <v>6040</v>
      </c>
      <c r="B164" t="s">
        <v>3978</v>
      </c>
      <c r="C164" t="s">
        <v>165</v>
      </c>
      <c r="D164" t="s">
        <v>19</v>
      </c>
      <c r="E164" s="1">
        <v>46081</v>
      </c>
      <c r="F164" s="1">
        <v>46115</v>
      </c>
      <c r="G164" s="1"/>
      <c r="H164">
        <v>5200</v>
      </c>
      <c r="I164" t="s">
        <v>12</v>
      </c>
      <c r="J164">
        <v>7</v>
      </c>
      <c r="K164">
        <v>36400</v>
      </c>
    </row>
    <row r="165" spans="1:11" x14ac:dyDescent="0.3">
      <c r="A165" t="s">
        <v>398</v>
      </c>
      <c r="B165" t="s">
        <v>1785</v>
      </c>
      <c r="C165" t="s">
        <v>64</v>
      </c>
      <c r="D165" t="s">
        <v>19</v>
      </c>
      <c r="E165" s="1">
        <v>46192</v>
      </c>
      <c r="F165" s="1"/>
      <c r="G165" s="1"/>
      <c r="H165">
        <v>4700</v>
      </c>
      <c r="I165" t="s">
        <v>76</v>
      </c>
      <c r="J165">
        <v>0</v>
      </c>
      <c r="K165">
        <v>0</v>
      </c>
    </row>
    <row r="166" spans="1:11" x14ac:dyDescent="0.3">
      <c r="A166" t="s">
        <v>401</v>
      </c>
      <c r="B166" t="s">
        <v>1561</v>
      </c>
      <c r="C166" t="s">
        <v>240</v>
      </c>
      <c r="D166" t="s">
        <v>11</v>
      </c>
      <c r="E166" s="1">
        <v>46082</v>
      </c>
      <c r="F166" s="1">
        <v>46093</v>
      </c>
      <c r="G166" s="1"/>
      <c r="H166">
        <v>5400</v>
      </c>
      <c r="I166" t="s">
        <v>12</v>
      </c>
      <c r="J166">
        <v>3</v>
      </c>
      <c r="K166">
        <v>16200</v>
      </c>
    </row>
    <row r="167" spans="1:11" x14ac:dyDescent="0.3">
      <c r="A167" t="s">
        <v>403</v>
      </c>
      <c r="B167" t="s">
        <v>1272</v>
      </c>
      <c r="C167" t="s">
        <v>22</v>
      </c>
      <c r="D167" t="s">
        <v>19</v>
      </c>
      <c r="E167" s="1">
        <v>46108</v>
      </c>
      <c r="F167" s="1"/>
      <c r="G167" s="1"/>
      <c r="H167">
        <v>7000</v>
      </c>
      <c r="I167" t="s">
        <v>76</v>
      </c>
      <c r="J167">
        <v>0</v>
      </c>
      <c r="K167">
        <v>0</v>
      </c>
    </row>
    <row r="168" spans="1:11" x14ac:dyDescent="0.3">
      <c r="A168" t="s">
        <v>405</v>
      </c>
      <c r="B168" t="s">
        <v>3818</v>
      </c>
      <c r="C168" t="s">
        <v>499</v>
      </c>
      <c r="D168" t="s">
        <v>11</v>
      </c>
      <c r="E168" s="1">
        <v>46163</v>
      </c>
      <c r="F168" s="1">
        <v>46252</v>
      </c>
      <c r="G168" s="1"/>
      <c r="H168">
        <v>7700</v>
      </c>
      <c r="I168" t="s">
        <v>12</v>
      </c>
      <c r="J168">
        <v>3</v>
      </c>
      <c r="K168">
        <v>23100</v>
      </c>
    </row>
    <row r="169" spans="1:11" x14ac:dyDescent="0.3">
      <c r="A169" t="s">
        <v>408</v>
      </c>
      <c r="B169" t="s">
        <v>562</v>
      </c>
      <c r="C169" t="s">
        <v>400</v>
      </c>
      <c r="D169" t="s">
        <v>48</v>
      </c>
      <c r="E169" s="1">
        <v>46044</v>
      </c>
      <c r="F169" s="1">
        <v>46057</v>
      </c>
      <c r="G169" s="1">
        <v>46062</v>
      </c>
      <c r="H169">
        <v>4200</v>
      </c>
      <c r="I169" t="s">
        <v>38</v>
      </c>
      <c r="J169">
        <v>5</v>
      </c>
      <c r="K169">
        <v>21000</v>
      </c>
    </row>
    <row r="170" spans="1:11" x14ac:dyDescent="0.3">
      <c r="A170" t="s">
        <v>6041</v>
      </c>
      <c r="B170" t="s">
        <v>2885</v>
      </c>
      <c r="C170" t="s">
        <v>64</v>
      </c>
      <c r="D170" t="s">
        <v>11</v>
      </c>
      <c r="E170" s="1">
        <v>46135</v>
      </c>
      <c r="F170" s="1">
        <v>46222</v>
      </c>
      <c r="G170" s="1"/>
      <c r="H170">
        <v>4700</v>
      </c>
      <c r="I170" t="s">
        <v>12</v>
      </c>
      <c r="J170">
        <v>4</v>
      </c>
      <c r="K170">
        <v>18800</v>
      </c>
    </row>
    <row r="171" spans="1:11" x14ac:dyDescent="0.3">
      <c r="A171" t="s">
        <v>6042</v>
      </c>
      <c r="B171" t="s">
        <v>2953</v>
      </c>
      <c r="C171" t="s">
        <v>67</v>
      </c>
      <c r="D171" t="s">
        <v>26</v>
      </c>
      <c r="E171" s="1">
        <v>46179</v>
      </c>
      <c r="F171" s="1">
        <v>46258</v>
      </c>
      <c r="G171" s="1"/>
      <c r="H171">
        <v>9000</v>
      </c>
      <c r="I171" t="s">
        <v>12</v>
      </c>
      <c r="J171">
        <v>5</v>
      </c>
      <c r="K171">
        <v>45000</v>
      </c>
    </row>
    <row r="172" spans="1:11" x14ac:dyDescent="0.3">
      <c r="A172" t="s">
        <v>410</v>
      </c>
      <c r="B172" t="s">
        <v>1522</v>
      </c>
      <c r="C172" t="s">
        <v>70</v>
      </c>
      <c r="D172" t="s">
        <v>95</v>
      </c>
      <c r="E172" s="1">
        <v>46202</v>
      </c>
      <c r="F172" s="1">
        <v>46241</v>
      </c>
      <c r="G172" s="1">
        <v>46243</v>
      </c>
      <c r="H172">
        <v>5700</v>
      </c>
      <c r="I172" t="s">
        <v>38</v>
      </c>
      <c r="J172">
        <v>2</v>
      </c>
      <c r="K172">
        <v>11400</v>
      </c>
    </row>
    <row r="173" spans="1:11" x14ac:dyDescent="0.3">
      <c r="A173" t="s">
        <v>412</v>
      </c>
      <c r="B173" t="s">
        <v>3997</v>
      </c>
      <c r="C173" t="s">
        <v>22</v>
      </c>
      <c r="D173" t="s">
        <v>26</v>
      </c>
      <c r="E173" s="1">
        <v>46183</v>
      </c>
      <c r="F173" s="1">
        <v>46208</v>
      </c>
      <c r="G173" s="1"/>
      <c r="H173">
        <v>7000</v>
      </c>
      <c r="I173" t="s">
        <v>12</v>
      </c>
      <c r="J173">
        <v>2</v>
      </c>
      <c r="K173">
        <v>14000</v>
      </c>
    </row>
    <row r="174" spans="1:11" x14ac:dyDescent="0.3">
      <c r="A174" t="s">
        <v>414</v>
      </c>
      <c r="B174" t="s">
        <v>1102</v>
      </c>
      <c r="C174" t="s">
        <v>182</v>
      </c>
      <c r="D174" t="s">
        <v>33</v>
      </c>
      <c r="E174" s="1">
        <v>46110</v>
      </c>
      <c r="F174" s="1">
        <v>46160</v>
      </c>
      <c r="G174" s="1"/>
      <c r="H174">
        <v>7000</v>
      </c>
      <c r="I174" t="s">
        <v>12</v>
      </c>
      <c r="J174">
        <v>2</v>
      </c>
      <c r="K174">
        <v>14000</v>
      </c>
    </row>
    <row r="175" spans="1:11" x14ac:dyDescent="0.3">
      <c r="A175" t="s">
        <v>416</v>
      </c>
      <c r="B175" t="s">
        <v>2651</v>
      </c>
      <c r="C175" t="s">
        <v>219</v>
      </c>
      <c r="D175" t="s">
        <v>42</v>
      </c>
      <c r="E175" s="1">
        <v>46159</v>
      </c>
      <c r="F175" s="1">
        <v>46160</v>
      </c>
      <c r="G175" s="1"/>
      <c r="H175">
        <v>4700</v>
      </c>
      <c r="I175" t="s">
        <v>49</v>
      </c>
      <c r="J175">
        <v>1</v>
      </c>
      <c r="K175">
        <v>4700</v>
      </c>
    </row>
    <row r="176" spans="1:11" x14ac:dyDescent="0.3">
      <c r="A176" t="s">
        <v>418</v>
      </c>
      <c r="B176" t="s">
        <v>3023</v>
      </c>
      <c r="C176" t="s">
        <v>499</v>
      </c>
      <c r="D176" t="s">
        <v>19</v>
      </c>
      <c r="E176" s="1">
        <v>46127</v>
      </c>
      <c r="F176" s="1">
        <v>46162</v>
      </c>
      <c r="G176" s="1"/>
      <c r="H176">
        <v>7700</v>
      </c>
      <c r="I176" t="s">
        <v>12</v>
      </c>
      <c r="J176">
        <v>5</v>
      </c>
      <c r="K176">
        <v>38500</v>
      </c>
    </row>
    <row r="177" spans="1:11" x14ac:dyDescent="0.3">
      <c r="A177" t="s">
        <v>420</v>
      </c>
      <c r="B177" t="s">
        <v>4270</v>
      </c>
      <c r="C177" t="s">
        <v>255</v>
      </c>
      <c r="D177" t="s">
        <v>26</v>
      </c>
      <c r="E177" s="1">
        <v>46036</v>
      </c>
      <c r="F177" s="1"/>
      <c r="G177" s="1"/>
      <c r="H177">
        <v>4200</v>
      </c>
      <c r="I177" t="s">
        <v>76</v>
      </c>
      <c r="J177">
        <v>0</v>
      </c>
      <c r="K177">
        <v>0</v>
      </c>
    </row>
    <row r="178" spans="1:11" x14ac:dyDescent="0.3">
      <c r="A178" t="s">
        <v>422</v>
      </c>
      <c r="B178" t="s">
        <v>3312</v>
      </c>
      <c r="C178" t="s">
        <v>32</v>
      </c>
      <c r="D178" t="s">
        <v>26</v>
      </c>
      <c r="E178" s="1">
        <v>46127</v>
      </c>
      <c r="F178" s="1">
        <v>46143</v>
      </c>
      <c r="G178" s="1"/>
      <c r="H178">
        <v>7000</v>
      </c>
      <c r="I178" t="s">
        <v>12</v>
      </c>
      <c r="J178">
        <v>2</v>
      </c>
      <c r="K178">
        <v>14000</v>
      </c>
    </row>
    <row r="179" spans="1:11" x14ac:dyDescent="0.3">
      <c r="A179" t="s">
        <v>425</v>
      </c>
      <c r="B179" t="s">
        <v>145</v>
      </c>
      <c r="C179" t="s">
        <v>138</v>
      </c>
      <c r="D179" t="s">
        <v>237</v>
      </c>
      <c r="E179" s="1">
        <v>46128</v>
      </c>
      <c r="F179" s="1">
        <v>46166</v>
      </c>
      <c r="G179" s="1">
        <v>46173</v>
      </c>
      <c r="H179">
        <v>7500</v>
      </c>
      <c r="I179" t="s">
        <v>38</v>
      </c>
      <c r="J179">
        <v>7</v>
      </c>
      <c r="K179">
        <v>52500</v>
      </c>
    </row>
    <row r="180" spans="1:11" x14ac:dyDescent="0.3">
      <c r="A180" t="s">
        <v>427</v>
      </c>
      <c r="B180" t="s">
        <v>4189</v>
      </c>
      <c r="C180" t="s">
        <v>182</v>
      </c>
      <c r="D180" t="s">
        <v>19</v>
      </c>
      <c r="E180" s="1">
        <v>46114</v>
      </c>
      <c r="F180" s="1">
        <v>46162</v>
      </c>
      <c r="G180" s="1"/>
      <c r="H180">
        <v>7000</v>
      </c>
      <c r="I180" t="s">
        <v>12</v>
      </c>
      <c r="J180">
        <v>1</v>
      </c>
      <c r="K180">
        <v>7000</v>
      </c>
    </row>
    <row r="181" spans="1:11" x14ac:dyDescent="0.3">
      <c r="A181" t="s">
        <v>429</v>
      </c>
      <c r="B181" t="s">
        <v>2843</v>
      </c>
      <c r="C181" t="s">
        <v>54</v>
      </c>
      <c r="D181" t="s">
        <v>26</v>
      </c>
      <c r="E181" s="1">
        <v>46052</v>
      </c>
      <c r="F181" s="1">
        <v>46085</v>
      </c>
      <c r="G181" s="1"/>
      <c r="H181">
        <v>7500</v>
      </c>
      <c r="I181" t="s">
        <v>12</v>
      </c>
      <c r="J181">
        <v>7</v>
      </c>
      <c r="K181">
        <v>52500</v>
      </c>
    </row>
    <row r="182" spans="1:11" x14ac:dyDescent="0.3">
      <c r="A182" t="s">
        <v>431</v>
      </c>
      <c r="B182" t="s">
        <v>2705</v>
      </c>
      <c r="C182" t="s">
        <v>138</v>
      </c>
      <c r="D182" t="s">
        <v>42</v>
      </c>
      <c r="E182" s="1">
        <v>46041</v>
      </c>
      <c r="F182" s="1">
        <v>46042</v>
      </c>
      <c r="G182" s="1"/>
      <c r="H182">
        <v>7500</v>
      </c>
      <c r="I182" t="s">
        <v>49</v>
      </c>
      <c r="J182">
        <v>4</v>
      </c>
      <c r="K182">
        <v>30000</v>
      </c>
    </row>
    <row r="183" spans="1:11" x14ac:dyDescent="0.3">
      <c r="A183" t="s">
        <v>433</v>
      </c>
      <c r="B183" t="s">
        <v>1000</v>
      </c>
      <c r="C183" t="s">
        <v>188</v>
      </c>
      <c r="D183" t="s">
        <v>237</v>
      </c>
      <c r="E183" s="1">
        <v>46174</v>
      </c>
      <c r="F183" s="1">
        <v>46175</v>
      </c>
      <c r="G183" s="1"/>
      <c r="H183">
        <v>6500</v>
      </c>
      <c r="I183" t="s">
        <v>49</v>
      </c>
      <c r="J183">
        <v>7</v>
      </c>
      <c r="K183">
        <v>45500</v>
      </c>
    </row>
    <row r="184" spans="1:11" x14ac:dyDescent="0.3">
      <c r="A184" t="s">
        <v>435</v>
      </c>
      <c r="B184" t="s">
        <v>281</v>
      </c>
      <c r="C184" t="s">
        <v>10</v>
      </c>
      <c r="D184" t="s">
        <v>11</v>
      </c>
      <c r="E184" s="1">
        <v>46189</v>
      </c>
      <c r="F184" s="1">
        <v>46267</v>
      </c>
      <c r="G184" s="1"/>
      <c r="H184">
        <v>6700</v>
      </c>
      <c r="I184" t="s">
        <v>12</v>
      </c>
      <c r="J184">
        <v>6</v>
      </c>
      <c r="K184">
        <v>40200</v>
      </c>
    </row>
    <row r="185" spans="1:11" x14ac:dyDescent="0.3">
      <c r="A185" t="s">
        <v>437</v>
      </c>
      <c r="B185" t="s">
        <v>1673</v>
      </c>
      <c r="C185" t="s">
        <v>535</v>
      </c>
      <c r="D185" t="s">
        <v>37</v>
      </c>
      <c r="E185" s="1">
        <v>46065</v>
      </c>
      <c r="F185" s="1">
        <v>46066</v>
      </c>
      <c r="G185" s="1"/>
      <c r="H185">
        <v>6200</v>
      </c>
      <c r="I185" t="s">
        <v>49</v>
      </c>
      <c r="J185">
        <v>4</v>
      </c>
      <c r="K185">
        <v>24800</v>
      </c>
    </row>
    <row r="186" spans="1:11" x14ac:dyDescent="0.3">
      <c r="A186" t="s">
        <v>440</v>
      </c>
      <c r="B186" t="s">
        <v>4018</v>
      </c>
      <c r="C186" t="s">
        <v>255</v>
      </c>
      <c r="D186" t="s">
        <v>26</v>
      </c>
      <c r="E186" s="1">
        <v>46203</v>
      </c>
      <c r="F186" s="1">
        <v>46235</v>
      </c>
      <c r="G186" s="1"/>
      <c r="H186">
        <v>4200</v>
      </c>
      <c r="I186" t="s">
        <v>12</v>
      </c>
      <c r="J186">
        <v>4</v>
      </c>
      <c r="K186">
        <v>16800</v>
      </c>
    </row>
    <row r="187" spans="1:11" x14ac:dyDescent="0.3">
      <c r="A187" t="s">
        <v>442</v>
      </c>
      <c r="B187" t="s">
        <v>511</v>
      </c>
      <c r="C187" t="s">
        <v>263</v>
      </c>
      <c r="D187" t="s">
        <v>11</v>
      </c>
      <c r="E187" s="1">
        <v>46143</v>
      </c>
      <c r="F187" s="1">
        <v>46185</v>
      </c>
      <c r="G187" s="1"/>
      <c r="H187">
        <v>4800</v>
      </c>
      <c r="I187" t="s">
        <v>12</v>
      </c>
      <c r="J187">
        <v>3</v>
      </c>
      <c r="K187">
        <v>14400</v>
      </c>
    </row>
    <row r="188" spans="1:11" x14ac:dyDescent="0.3">
      <c r="A188" t="s">
        <v>444</v>
      </c>
      <c r="B188" t="s">
        <v>3857</v>
      </c>
      <c r="C188" t="s">
        <v>255</v>
      </c>
      <c r="D188" t="s">
        <v>26</v>
      </c>
      <c r="E188" s="1">
        <v>46034</v>
      </c>
      <c r="F188" s="1">
        <v>46100</v>
      </c>
      <c r="G188" s="1"/>
      <c r="H188">
        <v>4200</v>
      </c>
      <c r="I188" t="s">
        <v>12</v>
      </c>
      <c r="J188">
        <v>5</v>
      </c>
      <c r="K188">
        <v>21000</v>
      </c>
    </row>
    <row r="189" spans="1:11" x14ac:dyDescent="0.3">
      <c r="A189" t="s">
        <v>447</v>
      </c>
      <c r="B189" t="s">
        <v>2210</v>
      </c>
      <c r="C189" t="s">
        <v>338</v>
      </c>
      <c r="D189" t="s">
        <v>58</v>
      </c>
      <c r="E189" s="1">
        <v>46183</v>
      </c>
      <c r="F189" s="1">
        <v>46242</v>
      </c>
      <c r="G189" s="1">
        <v>46243</v>
      </c>
      <c r="H189">
        <v>7700</v>
      </c>
      <c r="I189" t="s">
        <v>38</v>
      </c>
      <c r="J189">
        <v>1</v>
      </c>
      <c r="K189">
        <v>7700</v>
      </c>
    </row>
    <row r="190" spans="1:11" x14ac:dyDescent="0.3">
      <c r="A190" t="s">
        <v>449</v>
      </c>
      <c r="B190" t="s">
        <v>2437</v>
      </c>
      <c r="C190" t="s">
        <v>106</v>
      </c>
      <c r="D190" t="s">
        <v>11</v>
      </c>
      <c r="E190" s="1">
        <v>46122</v>
      </c>
      <c r="F190" s="1">
        <v>46158</v>
      </c>
      <c r="G190" s="1"/>
      <c r="H190">
        <v>4300</v>
      </c>
      <c r="I190" t="s">
        <v>12</v>
      </c>
      <c r="J190">
        <v>7</v>
      </c>
      <c r="K190">
        <v>30100</v>
      </c>
    </row>
    <row r="191" spans="1:11" x14ac:dyDescent="0.3">
      <c r="A191" t="s">
        <v>451</v>
      </c>
      <c r="B191" t="s">
        <v>2912</v>
      </c>
      <c r="C191" t="s">
        <v>32</v>
      </c>
      <c r="D191" t="s">
        <v>26</v>
      </c>
      <c r="E191" s="1">
        <v>46115</v>
      </c>
      <c r="F191" s="1">
        <v>46174</v>
      </c>
      <c r="G191" s="1"/>
      <c r="H191">
        <v>7000</v>
      </c>
      <c r="I191" t="s">
        <v>12</v>
      </c>
      <c r="J191">
        <v>3</v>
      </c>
      <c r="K191">
        <v>21000</v>
      </c>
    </row>
    <row r="192" spans="1:11" x14ac:dyDescent="0.3">
      <c r="A192" t="s">
        <v>453</v>
      </c>
      <c r="B192" t="s">
        <v>3947</v>
      </c>
      <c r="C192" t="s">
        <v>146</v>
      </c>
      <c r="D192" t="s">
        <v>26</v>
      </c>
      <c r="E192" s="1">
        <v>46051</v>
      </c>
      <c r="F192" s="1">
        <v>46100</v>
      </c>
      <c r="G192" s="1"/>
      <c r="H192">
        <v>4700</v>
      </c>
      <c r="I192" t="s">
        <v>12</v>
      </c>
      <c r="J192">
        <v>2</v>
      </c>
      <c r="K192">
        <v>9400</v>
      </c>
    </row>
    <row r="193" spans="1:11" x14ac:dyDescent="0.3">
      <c r="A193" t="s">
        <v>455</v>
      </c>
      <c r="B193" t="s">
        <v>4448</v>
      </c>
      <c r="C193" t="s">
        <v>222</v>
      </c>
      <c r="D193" t="s">
        <v>33</v>
      </c>
      <c r="E193" s="1">
        <v>46098</v>
      </c>
      <c r="F193" s="1"/>
      <c r="G193" s="1"/>
      <c r="H193">
        <v>5200</v>
      </c>
      <c r="I193" t="s">
        <v>76</v>
      </c>
      <c r="J193">
        <v>0</v>
      </c>
      <c r="K193">
        <v>0</v>
      </c>
    </row>
    <row r="194" spans="1:11" x14ac:dyDescent="0.3">
      <c r="A194" t="s">
        <v>457</v>
      </c>
      <c r="B194" t="s">
        <v>3233</v>
      </c>
      <c r="C194" t="s">
        <v>54</v>
      </c>
      <c r="D194" t="s">
        <v>11</v>
      </c>
      <c r="E194" s="1">
        <v>46083</v>
      </c>
      <c r="F194" s="1">
        <v>46145</v>
      </c>
      <c r="G194" s="1"/>
      <c r="H194">
        <v>7500</v>
      </c>
      <c r="I194" t="s">
        <v>12</v>
      </c>
      <c r="J194">
        <v>2</v>
      </c>
      <c r="K194">
        <v>15000</v>
      </c>
    </row>
    <row r="195" spans="1:11" x14ac:dyDescent="0.3">
      <c r="A195" t="s">
        <v>459</v>
      </c>
      <c r="B195" t="s">
        <v>3550</v>
      </c>
      <c r="C195" t="s">
        <v>273</v>
      </c>
      <c r="D195" t="s">
        <v>95</v>
      </c>
      <c r="E195" s="1">
        <v>46168</v>
      </c>
      <c r="F195" s="1">
        <v>46200</v>
      </c>
      <c r="G195" s="1">
        <v>46203</v>
      </c>
      <c r="H195">
        <v>3700</v>
      </c>
      <c r="I195" t="s">
        <v>38</v>
      </c>
      <c r="J195">
        <v>3</v>
      </c>
      <c r="K195">
        <v>11100</v>
      </c>
    </row>
    <row r="196" spans="1:11" x14ac:dyDescent="0.3">
      <c r="A196" t="s">
        <v>461</v>
      </c>
      <c r="B196" t="s">
        <v>3880</v>
      </c>
      <c r="C196" t="s">
        <v>193</v>
      </c>
      <c r="D196" t="s">
        <v>95</v>
      </c>
      <c r="E196" s="1">
        <v>46104</v>
      </c>
      <c r="F196" s="1">
        <v>46105</v>
      </c>
      <c r="G196" s="1"/>
      <c r="H196">
        <v>6500</v>
      </c>
      <c r="I196" t="s">
        <v>49</v>
      </c>
      <c r="J196">
        <v>7</v>
      </c>
      <c r="K196">
        <v>45500</v>
      </c>
    </row>
    <row r="197" spans="1:11" x14ac:dyDescent="0.3">
      <c r="A197" t="s">
        <v>463</v>
      </c>
      <c r="B197" t="s">
        <v>4350</v>
      </c>
      <c r="C197" t="s">
        <v>133</v>
      </c>
      <c r="D197" t="s">
        <v>58</v>
      </c>
      <c r="E197" s="1">
        <v>46083</v>
      </c>
      <c r="F197" s="1">
        <v>46084</v>
      </c>
      <c r="G197" s="1">
        <v>46086</v>
      </c>
      <c r="H197">
        <v>7000</v>
      </c>
      <c r="I197" t="s">
        <v>38</v>
      </c>
      <c r="J197">
        <v>2</v>
      </c>
      <c r="K197">
        <v>14000</v>
      </c>
    </row>
    <row r="198" spans="1:11" x14ac:dyDescent="0.3">
      <c r="A198" t="s">
        <v>465</v>
      </c>
      <c r="B198" t="s">
        <v>3904</v>
      </c>
      <c r="C198" t="s">
        <v>61</v>
      </c>
      <c r="D198" t="s">
        <v>42</v>
      </c>
      <c r="E198" s="1">
        <v>46041</v>
      </c>
      <c r="F198" s="1">
        <v>46071</v>
      </c>
      <c r="G198" s="1">
        <v>46074</v>
      </c>
      <c r="H198">
        <v>3500</v>
      </c>
      <c r="I198" t="s">
        <v>38</v>
      </c>
      <c r="J198">
        <v>3</v>
      </c>
      <c r="K198">
        <v>10500</v>
      </c>
    </row>
    <row r="199" spans="1:11" x14ac:dyDescent="0.3">
      <c r="A199" t="s">
        <v>467</v>
      </c>
      <c r="B199" t="s">
        <v>3814</v>
      </c>
      <c r="C199" t="s">
        <v>583</v>
      </c>
      <c r="D199" t="s">
        <v>95</v>
      </c>
      <c r="E199" s="1">
        <v>46157</v>
      </c>
      <c r="F199" s="1">
        <v>46161</v>
      </c>
      <c r="G199" s="1">
        <v>46168</v>
      </c>
      <c r="H199">
        <v>5500</v>
      </c>
      <c r="I199" t="s">
        <v>38</v>
      </c>
      <c r="J199">
        <v>7</v>
      </c>
      <c r="K199">
        <v>38500</v>
      </c>
    </row>
    <row r="200" spans="1:11" x14ac:dyDescent="0.3">
      <c r="A200" t="s">
        <v>469</v>
      </c>
      <c r="B200" t="s">
        <v>2275</v>
      </c>
      <c r="C200" t="s">
        <v>219</v>
      </c>
      <c r="D200" t="s">
        <v>58</v>
      </c>
      <c r="E200" s="1">
        <v>46167</v>
      </c>
      <c r="F200" s="1">
        <v>46198</v>
      </c>
      <c r="G200" s="1">
        <v>46200</v>
      </c>
      <c r="H200">
        <v>4700</v>
      </c>
      <c r="I200" t="s">
        <v>38</v>
      </c>
      <c r="J200">
        <v>2</v>
      </c>
      <c r="K200">
        <v>9400</v>
      </c>
    </row>
    <row r="201" spans="1:11" x14ac:dyDescent="0.3">
      <c r="A201" t="s">
        <v>471</v>
      </c>
      <c r="B201" t="s">
        <v>1268</v>
      </c>
      <c r="C201" t="s">
        <v>109</v>
      </c>
      <c r="D201" t="s">
        <v>26</v>
      </c>
      <c r="E201" s="1">
        <v>46117</v>
      </c>
      <c r="F201" s="1">
        <v>46132</v>
      </c>
      <c r="G201" s="1"/>
      <c r="H201">
        <v>7200</v>
      </c>
      <c r="I201" t="s">
        <v>12</v>
      </c>
      <c r="J201">
        <v>3</v>
      </c>
      <c r="K201">
        <v>21600</v>
      </c>
    </row>
    <row r="202" spans="1:11" x14ac:dyDescent="0.3">
      <c r="A202" t="s">
        <v>473</v>
      </c>
      <c r="B202" t="s">
        <v>3314</v>
      </c>
      <c r="C202" t="s">
        <v>366</v>
      </c>
      <c r="D202" t="s">
        <v>33</v>
      </c>
      <c r="E202" s="1">
        <v>46180</v>
      </c>
      <c r="F202" s="1">
        <v>46265</v>
      </c>
      <c r="G202" s="1"/>
      <c r="H202">
        <v>7700</v>
      </c>
      <c r="I202" t="s">
        <v>12</v>
      </c>
      <c r="J202">
        <v>3</v>
      </c>
      <c r="K202">
        <v>23100</v>
      </c>
    </row>
    <row r="203" spans="1:11" x14ac:dyDescent="0.3">
      <c r="A203" t="s">
        <v>475</v>
      </c>
      <c r="B203" t="s">
        <v>2914</v>
      </c>
      <c r="C203" t="s">
        <v>92</v>
      </c>
      <c r="D203" t="s">
        <v>37</v>
      </c>
      <c r="E203" s="1">
        <v>46202</v>
      </c>
      <c r="F203" s="1">
        <v>46238</v>
      </c>
      <c r="G203" s="1">
        <v>46245</v>
      </c>
      <c r="H203">
        <v>4200</v>
      </c>
      <c r="I203" t="s">
        <v>38</v>
      </c>
      <c r="J203">
        <v>7</v>
      </c>
      <c r="K203">
        <v>29400</v>
      </c>
    </row>
    <row r="204" spans="1:11" x14ac:dyDescent="0.3">
      <c r="A204" t="s">
        <v>478</v>
      </c>
      <c r="B204" t="s">
        <v>1933</v>
      </c>
      <c r="C204" t="s">
        <v>109</v>
      </c>
      <c r="D204" t="s">
        <v>19</v>
      </c>
      <c r="E204" s="1">
        <v>46063</v>
      </c>
      <c r="F204" s="1">
        <v>46129</v>
      </c>
      <c r="G204" s="1"/>
      <c r="H204">
        <v>7200</v>
      </c>
      <c r="I204" t="s">
        <v>12</v>
      </c>
      <c r="J204">
        <v>2</v>
      </c>
      <c r="K204">
        <v>14400</v>
      </c>
    </row>
    <row r="205" spans="1:11" x14ac:dyDescent="0.3">
      <c r="A205" t="s">
        <v>480</v>
      </c>
      <c r="B205" t="s">
        <v>2347</v>
      </c>
      <c r="C205" t="s">
        <v>81</v>
      </c>
      <c r="D205" t="s">
        <v>19</v>
      </c>
      <c r="E205" s="1">
        <v>46129</v>
      </c>
      <c r="F205" s="1">
        <v>46202</v>
      </c>
      <c r="G205" s="1"/>
      <c r="H205">
        <v>4200</v>
      </c>
      <c r="I205" t="s">
        <v>12</v>
      </c>
      <c r="J205">
        <v>1</v>
      </c>
      <c r="K205">
        <v>4200</v>
      </c>
    </row>
    <row r="206" spans="1:11" x14ac:dyDescent="0.3">
      <c r="A206" t="s">
        <v>482</v>
      </c>
      <c r="B206" t="s">
        <v>2904</v>
      </c>
      <c r="C206" t="s">
        <v>73</v>
      </c>
      <c r="D206" t="s">
        <v>237</v>
      </c>
      <c r="E206" s="1">
        <v>46115</v>
      </c>
      <c r="F206" s="1">
        <v>46158</v>
      </c>
      <c r="G206" s="1">
        <v>46160</v>
      </c>
      <c r="H206">
        <v>7800</v>
      </c>
      <c r="I206" t="s">
        <v>38</v>
      </c>
      <c r="J206">
        <v>2</v>
      </c>
      <c r="K206">
        <v>15600</v>
      </c>
    </row>
    <row r="207" spans="1:11" x14ac:dyDescent="0.3">
      <c r="A207" t="s">
        <v>484</v>
      </c>
      <c r="B207" t="s">
        <v>2888</v>
      </c>
      <c r="C207" t="s">
        <v>499</v>
      </c>
      <c r="D207" t="s">
        <v>37</v>
      </c>
      <c r="E207" s="1">
        <v>46184</v>
      </c>
      <c r="F207" s="1">
        <v>46189</v>
      </c>
      <c r="G207" s="1">
        <v>46194</v>
      </c>
      <c r="H207">
        <v>7700</v>
      </c>
      <c r="I207" t="s">
        <v>38</v>
      </c>
      <c r="J207">
        <v>5</v>
      </c>
      <c r="K207">
        <v>38500</v>
      </c>
    </row>
    <row r="208" spans="1:11" x14ac:dyDescent="0.3">
      <c r="A208" t="s">
        <v>486</v>
      </c>
      <c r="B208" t="s">
        <v>3790</v>
      </c>
      <c r="C208" t="s">
        <v>477</v>
      </c>
      <c r="D208" t="s">
        <v>95</v>
      </c>
      <c r="E208" s="1">
        <v>46092</v>
      </c>
      <c r="F208" s="1">
        <v>46139</v>
      </c>
      <c r="G208" s="1">
        <v>46146</v>
      </c>
      <c r="H208">
        <v>8000</v>
      </c>
      <c r="I208" t="s">
        <v>38</v>
      </c>
      <c r="J208">
        <v>7</v>
      </c>
      <c r="K208">
        <v>56000</v>
      </c>
    </row>
    <row r="209" spans="1:11" x14ac:dyDescent="0.3">
      <c r="A209" t="s">
        <v>6043</v>
      </c>
      <c r="B209" t="s">
        <v>2965</v>
      </c>
      <c r="C209" t="s">
        <v>109</v>
      </c>
      <c r="D209" t="s">
        <v>26</v>
      </c>
      <c r="E209" s="1">
        <v>46025</v>
      </c>
      <c r="F209" s="1">
        <v>46044</v>
      </c>
      <c r="G209" s="1"/>
      <c r="H209">
        <v>7200</v>
      </c>
      <c r="I209" t="s">
        <v>12</v>
      </c>
      <c r="J209">
        <v>2</v>
      </c>
      <c r="K209">
        <v>14400</v>
      </c>
    </row>
    <row r="210" spans="1:11" x14ac:dyDescent="0.3">
      <c r="A210" t="s">
        <v>489</v>
      </c>
      <c r="B210" t="s">
        <v>3037</v>
      </c>
      <c r="C210" t="s">
        <v>162</v>
      </c>
      <c r="D210" t="s">
        <v>26</v>
      </c>
      <c r="E210" s="1">
        <v>46134</v>
      </c>
      <c r="F210" s="1">
        <v>46175</v>
      </c>
      <c r="G210" s="1"/>
      <c r="H210">
        <v>8300</v>
      </c>
      <c r="I210" t="s">
        <v>12</v>
      </c>
      <c r="J210">
        <v>2</v>
      </c>
      <c r="K210">
        <v>16600</v>
      </c>
    </row>
    <row r="211" spans="1:11" x14ac:dyDescent="0.3">
      <c r="A211" t="s">
        <v>6044</v>
      </c>
      <c r="B211" t="s">
        <v>694</v>
      </c>
      <c r="C211" t="s">
        <v>109</v>
      </c>
      <c r="D211" t="s">
        <v>26</v>
      </c>
      <c r="E211" s="1">
        <v>46058</v>
      </c>
      <c r="F211" s="1">
        <v>46136</v>
      </c>
      <c r="G211" s="1"/>
      <c r="H211">
        <v>7200</v>
      </c>
      <c r="I211" t="s">
        <v>12</v>
      </c>
      <c r="J211">
        <v>2</v>
      </c>
      <c r="K211">
        <v>14400</v>
      </c>
    </row>
    <row r="212" spans="1:11" x14ac:dyDescent="0.3">
      <c r="A212" t="s">
        <v>491</v>
      </c>
      <c r="B212" t="s">
        <v>690</v>
      </c>
      <c r="C212" t="s">
        <v>10</v>
      </c>
      <c r="D212" t="s">
        <v>11</v>
      </c>
      <c r="E212" s="1">
        <v>46059</v>
      </c>
      <c r="F212" s="1">
        <v>46116</v>
      </c>
      <c r="G212" s="1"/>
      <c r="H212">
        <v>6700</v>
      </c>
      <c r="I212" t="s">
        <v>12</v>
      </c>
      <c r="J212">
        <v>4</v>
      </c>
      <c r="K212">
        <v>26800</v>
      </c>
    </row>
    <row r="213" spans="1:11" x14ac:dyDescent="0.3">
      <c r="A213" t="s">
        <v>493</v>
      </c>
      <c r="B213" t="s">
        <v>2205</v>
      </c>
      <c r="C213" t="s">
        <v>18</v>
      </c>
      <c r="D213" t="s">
        <v>237</v>
      </c>
      <c r="E213" s="1">
        <v>46042</v>
      </c>
      <c r="F213" s="1">
        <v>46057</v>
      </c>
      <c r="G213" s="1">
        <v>46063</v>
      </c>
      <c r="H213">
        <v>6900</v>
      </c>
      <c r="I213" t="s">
        <v>38</v>
      </c>
      <c r="J213">
        <v>6</v>
      </c>
      <c r="K213">
        <v>41400</v>
      </c>
    </row>
    <row r="214" spans="1:11" x14ac:dyDescent="0.3">
      <c r="A214" t="s">
        <v>6045</v>
      </c>
      <c r="B214" t="s">
        <v>349</v>
      </c>
      <c r="C214" t="s">
        <v>109</v>
      </c>
      <c r="D214" t="s">
        <v>19</v>
      </c>
      <c r="E214" s="1">
        <v>46140</v>
      </c>
      <c r="F214" s="1">
        <v>46208</v>
      </c>
      <c r="G214" s="1"/>
      <c r="H214">
        <v>7200</v>
      </c>
      <c r="I214" t="s">
        <v>12</v>
      </c>
      <c r="J214">
        <v>3</v>
      </c>
      <c r="K214">
        <v>21600</v>
      </c>
    </row>
    <row r="215" spans="1:11" x14ac:dyDescent="0.3">
      <c r="A215" t="s">
        <v>495</v>
      </c>
      <c r="B215" t="s">
        <v>743</v>
      </c>
      <c r="C215" t="s">
        <v>10</v>
      </c>
      <c r="D215" t="s">
        <v>11</v>
      </c>
      <c r="E215" s="1">
        <v>46188</v>
      </c>
      <c r="F215" s="1">
        <v>46233</v>
      </c>
      <c r="G215" s="1"/>
      <c r="H215">
        <v>6700</v>
      </c>
      <c r="I215" t="s">
        <v>12</v>
      </c>
      <c r="J215">
        <v>1</v>
      </c>
      <c r="K215">
        <v>6700</v>
      </c>
    </row>
    <row r="216" spans="1:11" x14ac:dyDescent="0.3">
      <c r="A216" t="s">
        <v>497</v>
      </c>
      <c r="B216" t="s">
        <v>2995</v>
      </c>
      <c r="C216" t="s">
        <v>64</v>
      </c>
      <c r="D216" t="s">
        <v>19</v>
      </c>
      <c r="E216" s="1">
        <v>46177</v>
      </c>
      <c r="F216" s="1">
        <v>46237</v>
      </c>
      <c r="G216" s="1"/>
      <c r="H216">
        <v>4700</v>
      </c>
      <c r="I216" t="s">
        <v>12</v>
      </c>
      <c r="J216">
        <v>4</v>
      </c>
      <c r="K216">
        <v>18800</v>
      </c>
    </row>
    <row r="217" spans="1:11" x14ac:dyDescent="0.3">
      <c r="A217" t="s">
        <v>500</v>
      </c>
      <c r="B217" t="s">
        <v>1725</v>
      </c>
      <c r="C217" t="s">
        <v>152</v>
      </c>
      <c r="D217" t="s">
        <v>19</v>
      </c>
      <c r="E217" s="1">
        <v>46167</v>
      </c>
      <c r="F217" s="1">
        <v>46256</v>
      </c>
      <c r="G217" s="1"/>
      <c r="H217">
        <v>7800</v>
      </c>
      <c r="I217" t="s">
        <v>12</v>
      </c>
      <c r="J217">
        <v>2</v>
      </c>
      <c r="K217">
        <v>15600</v>
      </c>
    </row>
    <row r="218" spans="1:11" x14ac:dyDescent="0.3">
      <c r="A218" t="s">
        <v>6046</v>
      </c>
      <c r="B218" t="s">
        <v>1150</v>
      </c>
      <c r="C218" t="s">
        <v>583</v>
      </c>
      <c r="D218" t="s">
        <v>48</v>
      </c>
      <c r="E218" s="1">
        <v>46084</v>
      </c>
      <c r="F218" s="1">
        <v>46129</v>
      </c>
      <c r="G218" s="1">
        <v>46135</v>
      </c>
      <c r="H218">
        <v>5500</v>
      </c>
      <c r="I218" t="s">
        <v>38</v>
      </c>
      <c r="J218">
        <v>6</v>
      </c>
      <c r="K218">
        <v>33000</v>
      </c>
    </row>
    <row r="219" spans="1:11" x14ac:dyDescent="0.3">
      <c r="A219" t="s">
        <v>502</v>
      </c>
      <c r="B219" t="s">
        <v>2768</v>
      </c>
      <c r="C219" t="s">
        <v>258</v>
      </c>
      <c r="D219" t="s">
        <v>26</v>
      </c>
      <c r="E219" s="1">
        <v>46132</v>
      </c>
      <c r="F219" s="1">
        <v>46219</v>
      </c>
      <c r="G219" s="1"/>
      <c r="H219">
        <v>4700</v>
      </c>
      <c r="I219" t="s">
        <v>12</v>
      </c>
      <c r="J219">
        <v>3</v>
      </c>
      <c r="K219">
        <v>14100</v>
      </c>
    </row>
    <row r="220" spans="1:11" x14ac:dyDescent="0.3">
      <c r="A220" t="s">
        <v>504</v>
      </c>
      <c r="B220" t="s">
        <v>1677</v>
      </c>
      <c r="C220" t="s">
        <v>73</v>
      </c>
      <c r="D220" t="s">
        <v>11</v>
      </c>
      <c r="E220" s="1">
        <v>46064</v>
      </c>
      <c r="F220" s="1">
        <v>46081</v>
      </c>
      <c r="G220" s="1"/>
      <c r="H220">
        <v>7800</v>
      </c>
      <c r="I220" t="s">
        <v>12</v>
      </c>
      <c r="J220">
        <v>5</v>
      </c>
      <c r="K220">
        <v>39000</v>
      </c>
    </row>
    <row r="221" spans="1:11" x14ac:dyDescent="0.3">
      <c r="A221" t="s">
        <v>6047</v>
      </c>
      <c r="B221" t="s">
        <v>406</v>
      </c>
      <c r="C221" t="s">
        <v>18</v>
      </c>
      <c r="D221" t="s">
        <v>19</v>
      </c>
      <c r="E221" s="1">
        <v>46026</v>
      </c>
      <c r="F221" s="1">
        <v>46085</v>
      </c>
      <c r="G221" s="1"/>
      <c r="H221">
        <v>6900</v>
      </c>
      <c r="I221" t="s">
        <v>12</v>
      </c>
      <c r="J221">
        <v>4</v>
      </c>
      <c r="K221">
        <v>27600</v>
      </c>
    </row>
    <row r="222" spans="1:11" x14ac:dyDescent="0.3">
      <c r="A222" t="s">
        <v>506</v>
      </c>
      <c r="B222" t="s">
        <v>4206</v>
      </c>
      <c r="C222" t="s">
        <v>294</v>
      </c>
      <c r="D222" t="s">
        <v>37</v>
      </c>
      <c r="E222" s="1">
        <v>46105</v>
      </c>
      <c r="F222" s="1">
        <v>46139</v>
      </c>
      <c r="G222" s="1">
        <v>46145</v>
      </c>
      <c r="H222">
        <v>6400</v>
      </c>
      <c r="I222" t="s">
        <v>38</v>
      </c>
      <c r="J222">
        <v>6</v>
      </c>
      <c r="K222">
        <v>38400</v>
      </c>
    </row>
    <row r="223" spans="1:11" x14ac:dyDescent="0.3">
      <c r="A223" t="s">
        <v>6048</v>
      </c>
      <c r="B223" t="s">
        <v>2268</v>
      </c>
      <c r="C223" t="s">
        <v>168</v>
      </c>
      <c r="D223" t="s">
        <v>11</v>
      </c>
      <c r="E223" s="1">
        <v>46185</v>
      </c>
      <c r="F223" s="1">
        <v>46237</v>
      </c>
      <c r="G223" s="1"/>
      <c r="H223">
        <v>4300</v>
      </c>
      <c r="I223" t="s">
        <v>12</v>
      </c>
      <c r="J223">
        <v>5</v>
      </c>
      <c r="K223">
        <v>21500</v>
      </c>
    </row>
    <row r="224" spans="1:11" x14ac:dyDescent="0.3">
      <c r="A224" t="s">
        <v>6049</v>
      </c>
      <c r="B224" t="s">
        <v>638</v>
      </c>
      <c r="C224" t="s">
        <v>112</v>
      </c>
      <c r="D224" t="s">
        <v>42</v>
      </c>
      <c r="E224" s="1">
        <v>46119</v>
      </c>
      <c r="F224" s="1">
        <v>46121</v>
      </c>
      <c r="G224" s="1"/>
      <c r="H224">
        <v>4800</v>
      </c>
      <c r="I224" t="s">
        <v>49</v>
      </c>
      <c r="J224">
        <v>5</v>
      </c>
      <c r="K224">
        <v>24000</v>
      </c>
    </row>
    <row r="225" spans="1:11" x14ac:dyDescent="0.3">
      <c r="A225" t="s">
        <v>508</v>
      </c>
      <c r="B225" t="s">
        <v>445</v>
      </c>
      <c r="C225" t="s">
        <v>175</v>
      </c>
      <c r="D225" t="s">
        <v>95</v>
      </c>
      <c r="E225" s="1">
        <v>46106</v>
      </c>
      <c r="F225" s="1">
        <v>46113</v>
      </c>
      <c r="G225" s="1">
        <v>46118</v>
      </c>
      <c r="H225">
        <v>6200</v>
      </c>
      <c r="I225" t="s">
        <v>38</v>
      </c>
      <c r="J225">
        <v>5</v>
      </c>
      <c r="K225">
        <v>31000</v>
      </c>
    </row>
    <row r="226" spans="1:11" x14ac:dyDescent="0.3">
      <c r="A226" t="s">
        <v>510</v>
      </c>
      <c r="B226" t="s">
        <v>3911</v>
      </c>
      <c r="C226" t="s">
        <v>36</v>
      </c>
      <c r="D226" t="s">
        <v>33</v>
      </c>
      <c r="E226" s="1">
        <v>46066</v>
      </c>
      <c r="F226" s="1">
        <v>46077</v>
      </c>
      <c r="G226" s="1"/>
      <c r="H226">
        <v>7000</v>
      </c>
      <c r="I226" t="s">
        <v>12</v>
      </c>
      <c r="J226">
        <v>2</v>
      </c>
      <c r="K226">
        <v>14000</v>
      </c>
    </row>
    <row r="227" spans="1:11" x14ac:dyDescent="0.3">
      <c r="A227" t="s">
        <v>512</v>
      </c>
      <c r="B227" t="s">
        <v>4454</v>
      </c>
      <c r="C227" t="s">
        <v>57</v>
      </c>
      <c r="D227" t="s">
        <v>58</v>
      </c>
      <c r="E227" s="1">
        <v>46158</v>
      </c>
      <c r="F227" s="1">
        <v>46204</v>
      </c>
      <c r="G227" s="1">
        <v>46206</v>
      </c>
      <c r="H227">
        <v>7700</v>
      </c>
      <c r="I227" t="s">
        <v>38</v>
      </c>
      <c r="J227">
        <v>2</v>
      </c>
      <c r="K227">
        <v>15400</v>
      </c>
    </row>
    <row r="228" spans="1:11" x14ac:dyDescent="0.3">
      <c r="A228" t="s">
        <v>514</v>
      </c>
      <c r="B228" t="s">
        <v>2585</v>
      </c>
      <c r="C228" t="s">
        <v>109</v>
      </c>
      <c r="D228" t="s">
        <v>19</v>
      </c>
      <c r="E228" s="1">
        <v>46087</v>
      </c>
      <c r="F228" s="1">
        <v>46170</v>
      </c>
      <c r="G228" s="1"/>
      <c r="H228">
        <v>7200</v>
      </c>
      <c r="I228" t="s">
        <v>12</v>
      </c>
      <c r="J228">
        <v>1</v>
      </c>
      <c r="K228">
        <v>7200</v>
      </c>
    </row>
    <row r="229" spans="1:11" x14ac:dyDescent="0.3">
      <c r="A229" t="s">
        <v>516</v>
      </c>
      <c r="B229" t="s">
        <v>3583</v>
      </c>
      <c r="C229" t="s">
        <v>193</v>
      </c>
      <c r="D229" t="s">
        <v>48</v>
      </c>
      <c r="E229" s="1">
        <v>46154</v>
      </c>
      <c r="F229" s="1">
        <v>46188</v>
      </c>
      <c r="G229" s="1">
        <v>46191</v>
      </c>
      <c r="H229">
        <v>6500</v>
      </c>
      <c r="I229" t="s">
        <v>38</v>
      </c>
      <c r="J229">
        <v>3</v>
      </c>
      <c r="K229">
        <v>19500</v>
      </c>
    </row>
    <row r="230" spans="1:11" x14ac:dyDescent="0.3">
      <c r="A230" t="s">
        <v>518</v>
      </c>
      <c r="B230" t="s">
        <v>2443</v>
      </c>
      <c r="C230" t="s">
        <v>36</v>
      </c>
      <c r="D230" t="s">
        <v>11</v>
      </c>
      <c r="E230" s="1">
        <v>46095</v>
      </c>
      <c r="F230" s="1">
        <v>46112</v>
      </c>
      <c r="G230" s="1"/>
      <c r="H230">
        <v>7000</v>
      </c>
      <c r="I230" t="s">
        <v>12</v>
      </c>
      <c r="J230">
        <v>4</v>
      </c>
      <c r="K230">
        <v>28000</v>
      </c>
    </row>
    <row r="231" spans="1:11" x14ac:dyDescent="0.3">
      <c r="A231" t="s">
        <v>520</v>
      </c>
      <c r="B231" t="s">
        <v>604</v>
      </c>
      <c r="C231" t="s">
        <v>407</v>
      </c>
      <c r="D231" t="s">
        <v>42</v>
      </c>
      <c r="E231" s="1">
        <v>46044</v>
      </c>
      <c r="F231" s="1">
        <v>46082</v>
      </c>
      <c r="G231" s="1">
        <v>46087</v>
      </c>
      <c r="H231">
        <v>8000</v>
      </c>
      <c r="I231" t="s">
        <v>38</v>
      </c>
      <c r="J231">
        <v>5</v>
      </c>
      <c r="K231">
        <v>40000</v>
      </c>
    </row>
    <row r="232" spans="1:11" x14ac:dyDescent="0.3">
      <c r="A232" t="s">
        <v>522</v>
      </c>
      <c r="B232" t="s">
        <v>498</v>
      </c>
      <c r="C232" t="s">
        <v>98</v>
      </c>
      <c r="D232" t="s">
        <v>26</v>
      </c>
      <c r="E232" s="1">
        <v>46043</v>
      </c>
      <c r="F232" s="1">
        <v>46105</v>
      </c>
      <c r="G232" s="1"/>
      <c r="H232">
        <v>6700</v>
      </c>
      <c r="I232" t="s">
        <v>12</v>
      </c>
      <c r="J232">
        <v>2</v>
      </c>
      <c r="K232">
        <v>13400</v>
      </c>
    </row>
    <row r="233" spans="1:11" x14ac:dyDescent="0.3">
      <c r="A233" t="s">
        <v>524</v>
      </c>
      <c r="B233" t="s">
        <v>3712</v>
      </c>
      <c r="C233" t="s">
        <v>366</v>
      </c>
      <c r="D233" t="s">
        <v>223</v>
      </c>
      <c r="E233" s="1">
        <v>46197</v>
      </c>
      <c r="F233" s="1">
        <v>46229</v>
      </c>
      <c r="G233" s="1">
        <v>46236</v>
      </c>
      <c r="H233">
        <v>7700</v>
      </c>
      <c r="I233" t="s">
        <v>38</v>
      </c>
      <c r="J233">
        <v>7</v>
      </c>
      <c r="K233">
        <v>53900</v>
      </c>
    </row>
    <row r="234" spans="1:11" x14ac:dyDescent="0.3">
      <c r="A234" t="s">
        <v>527</v>
      </c>
      <c r="B234" t="s">
        <v>4199</v>
      </c>
      <c r="C234" t="s">
        <v>22</v>
      </c>
      <c r="D234" t="s">
        <v>11</v>
      </c>
      <c r="E234" s="1">
        <v>46047</v>
      </c>
      <c r="F234" s="1">
        <v>46111</v>
      </c>
      <c r="G234" s="1"/>
      <c r="H234">
        <v>7000</v>
      </c>
      <c r="I234" t="s">
        <v>12</v>
      </c>
      <c r="J234">
        <v>4</v>
      </c>
      <c r="K234">
        <v>28000</v>
      </c>
    </row>
    <row r="235" spans="1:11" x14ac:dyDescent="0.3">
      <c r="A235" t="s">
        <v>529</v>
      </c>
      <c r="B235" t="s">
        <v>3059</v>
      </c>
      <c r="C235" t="s">
        <v>162</v>
      </c>
      <c r="D235" t="s">
        <v>33</v>
      </c>
      <c r="E235" s="1">
        <v>46093</v>
      </c>
      <c r="F235" s="1">
        <v>46160</v>
      </c>
      <c r="G235" s="1"/>
      <c r="H235">
        <v>8300</v>
      </c>
      <c r="I235" t="s">
        <v>12</v>
      </c>
      <c r="J235">
        <v>2</v>
      </c>
      <c r="K235">
        <v>16600</v>
      </c>
    </row>
    <row r="236" spans="1:11" x14ac:dyDescent="0.3">
      <c r="A236" t="s">
        <v>531</v>
      </c>
      <c r="B236" t="s">
        <v>2507</v>
      </c>
      <c r="C236" t="s">
        <v>343</v>
      </c>
      <c r="D236" t="s">
        <v>33</v>
      </c>
      <c r="E236" s="1">
        <v>46126</v>
      </c>
      <c r="F236" s="1">
        <v>46212</v>
      </c>
      <c r="G236" s="1"/>
      <c r="H236">
        <v>7000</v>
      </c>
      <c r="I236" t="s">
        <v>12</v>
      </c>
      <c r="J236">
        <v>3</v>
      </c>
      <c r="K236">
        <v>21000</v>
      </c>
    </row>
    <row r="237" spans="1:11" x14ac:dyDescent="0.3">
      <c r="A237" t="s">
        <v>533</v>
      </c>
      <c r="B237" t="s">
        <v>4220</v>
      </c>
      <c r="C237" t="s">
        <v>252</v>
      </c>
      <c r="D237" t="s">
        <v>19</v>
      </c>
      <c r="E237" s="1">
        <v>46035</v>
      </c>
      <c r="F237" s="1">
        <v>46118</v>
      </c>
      <c r="G237" s="1"/>
      <c r="H237">
        <v>7800</v>
      </c>
      <c r="I237" t="s">
        <v>12</v>
      </c>
      <c r="J237">
        <v>4</v>
      </c>
      <c r="K237">
        <v>31200</v>
      </c>
    </row>
    <row r="238" spans="1:11" x14ac:dyDescent="0.3">
      <c r="A238" t="s">
        <v>536</v>
      </c>
      <c r="B238" t="s">
        <v>391</v>
      </c>
      <c r="C238" t="s">
        <v>41</v>
      </c>
      <c r="D238" t="s">
        <v>42</v>
      </c>
      <c r="E238" s="1">
        <v>46059</v>
      </c>
      <c r="F238" s="1">
        <v>46061</v>
      </c>
      <c r="G238" s="1"/>
      <c r="H238">
        <v>5500</v>
      </c>
      <c r="I238" t="s">
        <v>49</v>
      </c>
      <c r="J238">
        <v>7</v>
      </c>
      <c r="K238">
        <v>38500</v>
      </c>
    </row>
    <row r="239" spans="1:11" x14ac:dyDescent="0.3">
      <c r="A239" t="s">
        <v>538</v>
      </c>
      <c r="B239" t="s">
        <v>2162</v>
      </c>
      <c r="C239" t="s">
        <v>263</v>
      </c>
      <c r="D239" t="s">
        <v>26</v>
      </c>
      <c r="E239" s="1">
        <v>46171</v>
      </c>
      <c r="F239" s="1">
        <v>46245</v>
      </c>
      <c r="G239" s="1"/>
      <c r="H239">
        <v>4800</v>
      </c>
      <c r="I239" t="s">
        <v>12</v>
      </c>
      <c r="J239">
        <v>5</v>
      </c>
      <c r="K239">
        <v>24000</v>
      </c>
    </row>
    <row r="240" spans="1:11" x14ac:dyDescent="0.3">
      <c r="A240" t="s">
        <v>540</v>
      </c>
      <c r="B240" t="s">
        <v>3971</v>
      </c>
      <c r="C240" t="s">
        <v>36</v>
      </c>
      <c r="D240" t="s">
        <v>11</v>
      </c>
      <c r="E240" s="1">
        <v>46108</v>
      </c>
      <c r="F240" s="1">
        <v>46174</v>
      </c>
      <c r="G240" s="1"/>
      <c r="H240">
        <v>7000</v>
      </c>
      <c r="I240" t="s">
        <v>12</v>
      </c>
      <c r="J240">
        <v>1</v>
      </c>
      <c r="K240">
        <v>7000</v>
      </c>
    </row>
    <row r="241" spans="1:11" x14ac:dyDescent="0.3">
      <c r="A241" t="s">
        <v>542</v>
      </c>
      <c r="B241" t="s">
        <v>170</v>
      </c>
      <c r="C241" t="s">
        <v>326</v>
      </c>
      <c r="D241" t="s">
        <v>33</v>
      </c>
      <c r="E241" s="1">
        <v>46053</v>
      </c>
      <c r="F241" s="1">
        <v>46142</v>
      </c>
      <c r="G241" s="1"/>
      <c r="H241">
        <v>4000</v>
      </c>
      <c r="I241" t="s">
        <v>12</v>
      </c>
      <c r="J241">
        <v>1</v>
      </c>
      <c r="K241">
        <v>4000</v>
      </c>
    </row>
    <row r="242" spans="1:11" x14ac:dyDescent="0.3">
      <c r="A242" t="s">
        <v>544</v>
      </c>
      <c r="B242" t="s">
        <v>3511</v>
      </c>
      <c r="C242" t="s">
        <v>276</v>
      </c>
      <c r="D242" t="s">
        <v>95</v>
      </c>
      <c r="E242" s="1">
        <v>46144</v>
      </c>
      <c r="F242" s="1">
        <v>46193</v>
      </c>
      <c r="G242" s="1">
        <v>46199</v>
      </c>
      <c r="H242">
        <v>5000</v>
      </c>
      <c r="I242" t="s">
        <v>38</v>
      </c>
      <c r="J242">
        <v>6</v>
      </c>
      <c r="K242">
        <v>30000</v>
      </c>
    </row>
    <row r="243" spans="1:11" x14ac:dyDescent="0.3">
      <c r="A243" t="s">
        <v>546</v>
      </c>
      <c r="B243" t="s">
        <v>4226</v>
      </c>
      <c r="C243" t="s">
        <v>366</v>
      </c>
      <c r="D243" t="s">
        <v>33</v>
      </c>
      <c r="E243" s="1">
        <v>46145</v>
      </c>
      <c r="F243" s="1">
        <v>46198</v>
      </c>
      <c r="G243" s="1"/>
      <c r="H243">
        <v>7700</v>
      </c>
      <c r="I243" t="s">
        <v>12</v>
      </c>
      <c r="J243">
        <v>7</v>
      </c>
      <c r="K243">
        <v>53900</v>
      </c>
    </row>
    <row r="244" spans="1:11" x14ac:dyDescent="0.3">
      <c r="A244" t="s">
        <v>548</v>
      </c>
      <c r="B244" t="s">
        <v>89</v>
      </c>
      <c r="C244" t="s">
        <v>146</v>
      </c>
      <c r="D244" t="s">
        <v>33</v>
      </c>
      <c r="E244" s="1">
        <v>46118</v>
      </c>
      <c r="F244" s="1">
        <v>46155</v>
      </c>
      <c r="G244" s="1"/>
      <c r="H244">
        <v>4700</v>
      </c>
      <c r="I244" t="s">
        <v>12</v>
      </c>
      <c r="J244">
        <v>4</v>
      </c>
      <c r="K244">
        <v>18800</v>
      </c>
    </row>
    <row r="245" spans="1:11" x14ac:dyDescent="0.3">
      <c r="A245" t="s">
        <v>551</v>
      </c>
      <c r="B245" t="s">
        <v>345</v>
      </c>
      <c r="C245" t="s">
        <v>550</v>
      </c>
      <c r="D245" t="s">
        <v>58</v>
      </c>
      <c r="E245" s="1">
        <v>46039</v>
      </c>
      <c r="F245" s="1">
        <v>46039</v>
      </c>
      <c r="G245" s="1"/>
      <c r="H245">
        <v>6000</v>
      </c>
      <c r="I245" t="s">
        <v>49</v>
      </c>
      <c r="J245">
        <v>2</v>
      </c>
      <c r="K245">
        <v>12000</v>
      </c>
    </row>
    <row r="246" spans="1:11" x14ac:dyDescent="0.3">
      <c r="A246" t="s">
        <v>553</v>
      </c>
      <c r="B246" t="s">
        <v>384</v>
      </c>
      <c r="C246" t="s">
        <v>407</v>
      </c>
      <c r="D246" t="s">
        <v>95</v>
      </c>
      <c r="E246" s="1">
        <v>46051</v>
      </c>
      <c r="F246" s="1">
        <v>46052</v>
      </c>
      <c r="G246" s="1"/>
      <c r="H246">
        <v>8000</v>
      </c>
      <c r="I246" t="s">
        <v>49</v>
      </c>
      <c r="J246">
        <v>6</v>
      </c>
      <c r="K246">
        <v>48000</v>
      </c>
    </row>
    <row r="247" spans="1:11" x14ac:dyDescent="0.3">
      <c r="A247" t="s">
        <v>555</v>
      </c>
      <c r="B247" t="s">
        <v>2922</v>
      </c>
      <c r="C247" t="s">
        <v>45</v>
      </c>
      <c r="D247" t="s">
        <v>33</v>
      </c>
      <c r="E247" s="1">
        <v>46061</v>
      </c>
      <c r="F247" s="1">
        <v>46113</v>
      </c>
      <c r="G247" s="1"/>
      <c r="H247">
        <v>7700</v>
      </c>
      <c r="I247" t="s">
        <v>12</v>
      </c>
      <c r="J247">
        <v>4</v>
      </c>
      <c r="K247">
        <v>30800</v>
      </c>
    </row>
    <row r="248" spans="1:11" x14ac:dyDescent="0.3">
      <c r="A248" t="s">
        <v>557</v>
      </c>
      <c r="B248" t="s">
        <v>2385</v>
      </c>
      <c r="C248" t="s">
        <v>182</v>
      </c>
      <c r="D248" t="s">
        <v>223</v>
      </c>
      <c r="E248" s="1">
        <v>46160</v>
      </c>
      <c r="F248" s="1">
        <v>46172</v>
      </c>
      <c r="G248" s="1">
        <v>46174</v>
      </c>
      <c r="H248">
        <v>7000</v>
      </c>
      <c r="I248" t="s">
        <v>38</v>
      </c>
      <c r="J248">
        <v>2</v>
      </c>
      <c r="K248">
        <v>14000</v>
      </c>
    </row>
    <row r="249" spans="1:11" x14ac:dyDescent="0.3">
      <c r="A249" t="s">
        <v>559</v>
      </c>
      <c r="B249" t="s">
        <v>545</v>
      </c>
      <c r="C249" t="s">
        <v>477</v>
      </c>
      <c r="D249" t="s">
        <v>37</v>
      </c>
      <c r="E249" s="1">
        <v>46178</v>
      </c>
      <c r="F249" s="1">
        <v>46179</v>
      </c>
      <c r="G249" s="1"/>
      <c r="H249">
        <v>8000</v>
      </c>
      <c r="I249" t="s">
        <v>49</v>
      </c>
      <c r="J249">
        <v>1</v>
      </c>
      <c r="K249">
        <v>8000</v>
      </c>
    </row>
    <row r="250" spans="1:11" x14ac:dyDescent="0.3">
      <c r="A250" t="s">
        <v>561</v>
      </c>
      <c r="B250" t="s">
        <v>2651</v>
      </c>
      <c r="C250" t="s">
        <v>67</v>
      </c>
      <c r="D250" t="s">
        <v>11</v>
      </c>
      <c r="E250" s="1">
        <v>46104</v>
      </c>
      <c r="F250" s="1"/>
      <c r="G250" s="1"/>
      <c r="H250">
        <v>9000</v>
      </c>
      <c r="I250" t="s">
        <v>76</v>
      </c>
      <c r="J250">
        <v>0</v>
      </c>
      <c r="K250">
        <v>0</v>
      </c>
    </row>
    <row r="251" spans="1:11" x14ac:dyDescent="0.3">
      <c r="A251" t="s">
        <v>563</v>
      </c>
      <c r="B251" t="s">
        <v>4450</v>
      </c>
      <c r="C251" t="s">
        <v>165</v>
      </c>
      <c r="D251" t="s">
        <v>19</v>
      </c>
      <c r="E251" s="1">
        <v>46112</v>
      </c>
      <c r="F251" s="1">
        <v>46170</v>
      </c>
      <c r="G251" s="1"/>
      <c r="H251">
        <v>5200</v>
      </c>
      <c r="I251" t="s">
        <v>12</v>
      </c>
      <c r="J251">
        <v>6</v>
      </c>
      <c r="K251">
        <v>31200</v>
      </c>
    </row>
    <row r="252" spans="1:11" x14ac:dyDescent="0.3">
      <c r="A252" t="s">
        <v>565</v>
      </c>
      <c r="B252" t="s">
        <v>2509</v>
      </c>
      <c r="C252" t="s">
        <v>258</v>
      </c>
      <c r="D252" t="s">
        <v>37</v>
      </c>
      <c r="E252" s="1">
        <v>46201</v>
      </c>
      <c r="F252" s="1">
        <v>46207</v>
      </c>
      <c r="G252" s="1">
        <v>46214</v>
      </c>
      <c r="H252">
        <v>4700</v>
      </c>
      <c r="I252" t="s">
        <v>38</v>
      </c>
      <c r="J252">
        <v>7</v>
      </c>
      <c r="K252">
        <v>32900</v>
      </c>
    </row>
    <row r="253" spans="1:11" x14ac:dyDescent="0.3">
      <c r="A253" t="s">
        <v>567</v>
      </c>
      <c r="B253" t="s">
        <v>2661</v>
      </c>
      <c r="C253" t="s">
        <v>896</v>
      </c>
      <c r="D253" t="s">
        <v>33</v>
      </c>
      <c r="E253" s="1">
        <v>46044</v>
      </c>
      <c r="F253" s="1">
        <v>46095</v>
      </c>
      <c r="G253" s="1"/>
      <c r="H253">
        <v>6200</v>
      </c>
      <c r="I253" t="s">
        <v>12</v>
      </c>
      <c r="J253">
        <v>3</v>
      </c>
      <c r="K253">
        <v>18600</v>
      </c>
    </row>
    <row r="254" spans="1:11" x14ac:dyDescent="0.3">
      <c r="A254" t="s">
        <v>569</v>
      </c>
      <c r="B254" t="s">
        <v>2477</v>
      </c>
      <c r="C254" t="s">
        <v>61</v>
      </c>
      <c r="D254" t="s">
        <v>33</v>
      </c>
      <c r="E254" s="1">
        <v>46159</v>
      </c>
      <c r="F254" s="1">
        <v>46248</v>
      </c>
      <c r="G254" s="1"/>
      <c r="H254">
        <v>3500</v>
      </c>
      <c r="I254" t="s">
        <v>12</v>
      </c>
      <c r="J254">
        <v>1</v>
      </c>
      <c r="K254">
        <v>3500</v>
      </c>
    </row>
    <row r="255" spans="1:11" x14ac:dyDescent="0.3">
      <c r="A255" t="s">
        <v>571</v>
      </c>
      <c r="B255" t="s">
        <v>3377</v>
      </c>
      <c r="C255" t="s">
        <v>389</v>
      </c>
      <c r="D255" t="s">
        <v>223</v>
      </c>
      <c r="E255" s="1">
        <v>46090</v>
      </c>
      <c r="F255" s="1">
        <v>46091</v>
      </c>
      <c r="G255" s="1"/>
      <c r="H255">
        <v>7700</v>
      </c>
      <c r="I255" t="s">
        <v>49</v>
      </c>
      <c r="J255">
        <v>1</v>
      </c>
      <c r="K255">
        <v>7700</v>
      </c>
    </row>
    <row r="256" spans="1:11" x14ac:dyDescent="0.3">
      <c r="A256" t="s">
        <v>6050</v>
      </c>
      <c r="B256" t="s">
        <v>642</v>
      </c>
      <c r="C256" t="s">
        <v>400</v>
      </c>
      <c r="D256" t="s">
        <v>58</v>
      </c>
      <c r="E256" s="1">
        <v>46199</v>
      </c>
      <c r="F256" s="1">
        <v>46200</v>
      </c>
      <c r="G256" s="1"/>
      <c r="H256">
        <v>4200</v>
      </c>
      <c r="I256" t="s">
        <v>49</v>
      </c>
      <c r="J256">
        <v>2</v>
      </c>
      <c r="K256">
        <v>8400</v>
      </c>
    </row>
    <row r="257" spans="1:11" x14ac:dyDescent="0.3">
      <c r="A257" t="s">
        <v>573</v>
      </c>
      <c r="B257" t="s">
        <v>4120</v>
      </c>
      <c r="C257" t="s">
        <v>54</v>
      </c>
      <c r="D257" t="s">
        <v>33</v>
      </c>
      <c r="E257" s="1">
        <v>46192</v>
      </c>
      <c r="F257" s="1">
        <v>46276</v>
      </c>
      <c r="G257" s="1"/>
      <c r="H257">
        <v>7500</v>
      </c>
      <c r="I257" t="s">
        <v>12</v>
      </c>
      <c r="J257">
        <v>4</v>
      </c>
      <c r="K257">
        <v>30000</v>
      </c>
    </row>
    <row r="258" spans="1:11" x14ac:dyDescent="0.3">
      <c r="A258" t="s">
        <v>575</v>
      </c>
      <c r="B258" t="s">
        <v>4342</v>
      </c>
      <c r="C258" t="s">
        <v>61</v>
      </c>
      <c r="D258" t="s">
        <v>19</v>
      </c>
      <c r="E258" s="1">
        <v>46140</v>
      </c>
      <c r="F258" s="1">
        <v>46182</v>
      </c>
      <c r="G258" s="1"/>
      <c r="H258">
        <v>3500</v>
      </c>
      <c r="I258" t="s">
        <v>12</v>
      </c>
      <c r="J258">
        <v>5</v>
      </c>
      <c r="K258">
        <v>17500</v>
      </c>
    </row>
    <row r="259" spans="1:11" x14ac:dyDescent="0.3">
      <c r="A259" t="s">
        <v>577</v>
      </c>
      <c r="B259" t="s">
        <v>3266</v>
      </c>
      <c r="C259" t="s">
        <v>252</v>
      </c>
      <c r="D259" t="s">
        <v>48</v>
      </c>
      <c r="E259" s="1">
        <v>46186</v>
      </c>
      <c r="F259" s="1">
        <v>46208</v>
      </c>
      <c r="G259" s="1">
        <v>46212</v>
      </c>
      <c r="H259">
        <v>7800</v>
      </c>
      <c r="I259" t="s">
        <v>38</v>
      </c>
      <c r="J259">
        <v>4</v>
      </c>
      <c r="K259">
        <v>31200</v>
      </c>
    </row>
    <row r="260" spans="1:11" x14ac:dyDescent="0.3">
      <c r="A260" t="s">
        <v>579</v>
      </c>
      <c r="B260" t="s">
        <v>4417</v>
      </c>
      <c r="C260" t="s">
        <v>73</v>
      </c>
      <c r="D260" t="s">
        <v>42</v>
      </c>
      <c r="E260" s="1">
        <v>46149</v>
      </c>
      <c r="F260" s="1">
        <v>46170</v>
      </c>
      <c r="G260" s="1">
        <v>46175</v>
      </c>
      <c r="H260">
        <v>7800</v>
      </c>
      <c r="I260" t="s">
        <v>38</v>
      </c>
      <c r="J260">
        <v>5</v>
      </c>
      <c r="K260">
        <v>39000</v>
      </c>
    </row>
    <row r="261" spans="1:11" x14ac:dyDescent="0.3">
      <c r="A261" t="s">
        <v>581</v>
      </c>
      <c r="B261" t="s">
        <v>3283</v>
      </c>
      <c r="C261" t="s">
        <v>143</v>
      </c>
      <c r="D261" t="s">
        <v>37</v>
      </c>
      <c r="E261" s="1">
        <v>46031</v>
      </c>
      <c r="F261" s="1">
        <v>46036</v>
      </c>
      <c r="G261" s="1">
        <v>46043</v>
      </c>
      <c r="H261">
        <v>5400</v>
      </c>
      <c r="I261" t="s">
        <v>38</v>
      </c>
      <c r="J261">
        <v>7</v>
      </c>
      <c r="K261">
        <v>37800</v>
      </c>
    </row>
    <row r="262" spans="1:11" x14ac:dyDescent="0.3">
      <c r="A262" t="s">
        <v>6051</v>
      </c>
      <c r="B262" t="s">
        <v>2965</v>
      </c>
      <c r="C262" t="s">
        <v>175</v>
      </c>
      <c r="D262" t="s">
        <v>26</v>
      </c>
      <c r="E262" s="1">
        <v>46091</v>
      </c>
      <c r="F262" s="1">
        <v>46161</v>
      </c>
      <c r="G262" s="1"/>
      <c r="H262">
        <v>6200</v>
      </c>
      <c r="I262" t="s">
        <v>12</v>
      </c>
      <c r="J262">
        <v>3</v>
      </c>
      <c r="K262">
        <v>18600</v>
      </c>
    </row>
    <row r="263" spans="1:11" x14ac:dyDescent="0.3">
      <c r="A263" t="s">
        <v>584</v>
      </c>
      <c r="B263" t="s">
        <v>129</v>
      </c>
      <c r="C263" t="s">
        <v>258</v>
      </c>
      <c r="D263" t="s">
        <v>19</v>
      </c>
      <c r="E263" s="1">
        <v>46121</v>
      </c>
      <c r="F263" s="1">
        <v>46176</v>
      </c>
      <c r="G263" s="1"/>
      <c r="H263">
        <v>4700</v>
      </c>
      <c r="I263" t="s">
        <v>12</v>
      </c>
      <c r="J263">
        <v>5</v>
      </c>
      <c r="K263">
        <v>23500</v>
      </c>
    </row>
    <row r="264" spans="1:11" x14ac:dyDescent="0.3">
      <c r="A264" t="s">
        <v>586</v>
      </c>
      <c r="B264" t="s">
        <v>4105</v>
      </c>
      <c r="C264" t="s">
        <v>317</v>
      </c>
      <c r="D264" t="s">
        <v>37</v>
      </c>
      <c r="E264" s="1">
        <v>46187</v>
      </c>
      <c r="F264" s="1">
        <v>46231</v>
      </c>
      <c r="G264" s="1">
        <v>46232</v>
      </c>
      <c r="H264">
        <v>3500</v>
      </c>
      <c r="I264" t="s">
        <v>38</v>
      </c>
      <c r="J264">
        <v>1</v>
      </c>
      <c r="K264">
        <v>3500</v>
      </c>
    </row>
    <row r="265" spans="1:11" x14ac:dyDescent="0.3">
      <c r="A265" t="s">
        <v>588</v>
      </c>
      <c r="B265" t="s">
        <v>3959</v>
      </c>
      <c r="C265" t="s">
        <v>119</v>
      </c>
      <c r="D265" t="s">
        <v>237</v>
      </c>
      <c r="E265" s="1">
        <v>46190</v>
      </c>
      <c r="F265" s="1">
        <v>46221</v>
      </c>
      <c r="G265" s="1">
        <v>46227</v>
      </c>
      <c r="H265">
        <v>4700</v>
      </c>
      <c r="I265" t="s">
        <v>38</v>
      </c>
      <c r="J265">
        <v>6</v>
      </c>
      <c r="K265">
        <v>28200</v>
      </c>
    </row>
    <row r="266" spans="1:11" x14ac:dyDescent="0.3">
      <c r="A266" t="s">
        <v>590</v>
      </c>
      <c r="B266" t="s">
        <v>3821</v>
      </c>
      <c r="C266" t="s">
        <v>22</v>
      </c>
      <c r="D266" t="s">
        <v>48</v>
      </c>
      <c r="E266" s="1">
        <v>46165</v>
      </c>
      <c r="F266" s="1">
        <v>46173</v>
      </c>
      <c r="G266" s="1">
        <v>46176</v>
      </c>
      <c r="H266">
        <v>7000</v>
      </c>
      <c r="I266" t="s">
        <v>38</v>
      </c>
      <c r="J266">
        <v>3</v>
      </c>
      <c r="K266">
        <v>21000</v>
      </c>
    </row>
    <row r="267" spans="1:11" x14ac:dyDescent="0.3">
      <c r="A267" t="s">
        <v>592</v>
      </c>
      <c r="B267" t="s">
        <v>4331</v>
      </c>
      <c r="C267" t="s">
        <v>73</v>
      </c>
      <c r="D267" t="s">
        <v>11</v>
      </c>
      <c r="E267" s="1">
        <v>46189</v>
      </c>
      <c r="F267" s="1">
        <v>46234</v>
      </c>
      <c r="G267" s="1"/>
      <c r="H267">
        <v>7800</v>
      </c>
      <c r="I267" t="s">
        <v>12</v>
      </c>
      <c r="J267">
        <v>4</v>
      </c>
      <c r="K267">
        <v>31200</v>
      </c>
    </row>
    <row r="268" spans="1:11" x14ac:dyDescent="0.3">
      <c r="A268" t="s">
        <v>595</v>
      </c>
      <c r="B268" t="s">
        <v>690</v>
      </c>
      <c r="C268" t="s">
        <v>175</v>
      </c>
      <c r="D268" t="s">
        <v>48</v>
      </c>
      <c r="E268" s="1">
        <v>46032</v>
      </c>
      <c r="F268" s="1">
        <v>46065</v>
      </c>
      <c r="G268" s="1">
        <v>46067</v>
      </c>
      <c r="H268">
        <v>6200</v>
      </c>
      <c r="I268" t="s">
        <v>38</v>
      </c>
      <c r="J268">
        <v>2</v>
      </c>
      <c r="K268">
        <v>12400</v>
      </c>
    </row>
    <row r="269" spans="1:11" x14ac:dyDescent="0.3">
      <c r="A269" t="s">
        <v>597</v>
      </c>
      <c r="B269" t="s">
        <v>3434</v>
      </c>
      <c r="C269" t="s">
        <v>57</v>
      </c>
      <c r="D269" t="s">
        <v>11</v>
      </c>
      <c r="E269" s="1">
        <v>46158</v>
      </c>
      <c r="F269" s="1">
        <v>46176</v>
      </c>
      <c r="G269" s="1"/>
      <c r="H269">
        <v>7700</v>
      </c>
      <c r="I269" t="s">
        <v>12</v>
      </c>
      <c r="J269">
        <v>3</v>
      </c>
      <c r="K269">
        <v>23100</v>
      </c>
    </row>
    <row r="270" spans="1:11" x14ac:dyDescent="0.3">
      <c r="A270" t="s">
        <v>6052</v>
      </c>
      <c r="B270" t="s">
        <v>2878</v>
      </c>
      <c r="C270" t="s">
        <v>67</v>
      </c>
      <c r="D270" t="s">
        <v>11</v>
      </c>
      <c r="E270" s="1">
        <v>46096</v>
      </c>
      <c r="F270" s="1">
        <v>46172</v>
      </c>
      <c r="G270" s="1"/>
      <c r="H270">
        <v>9000</v>
      </c>
      <c r="I270" t="s">
        <v>12</v>
      </c>
      <c r="J270">
        <v>2</v>
      </c>
      <c r="K270">
        <v>18000</v>
      </c>
    </row>
    <row r="271" spans="1:11" x14ac:dyDescent="0.3">
      <c r="A271" t="s">
        <v>599</v>
      </c>
      <c r="B271" t="s">
        <v>3744</v>
      </c>
      <c r="C271" t="s">
        <v>446</v>
      </c>
      <c r="D271" t="s">
        <v>37</v>
      </c>
      <c r="E271" s="1">
        <v>46099</v>
      </c>
      <c r="F271" s="1">
        <v>46100</v>
      </c>
      <c r="G271" s="1"/>
      <c r="H271">
        <v>8800</v>
      </c>
      <c r="I271" t="s">
        <v>49</v>
      </c>
      <c r="J271">
        <v>2</v>
      </c>
      <c r="K271">
        <v>17600</v>
      </c>
    </row>
    <row r="272" spans="1:11" x14ac:dyDescent="0.3">
      <c r="A272" t="s">
        <v>601</v>
      </c>
      <c r="B272" t="s">
        <v>3843</v>
      </c>
      <c r="C272" t="s">
        <v>81</v>
      </c>
      <c r="D272" t="s">
        <v>11</v>
      </c>
      <c r="E272" s="1">
        <v>46034</v>
      </c>
      <c r="F272" s="1">
        <v>46057</v>
      </c>
      <c r="G272" s="1"/>
      <c r="H272">
        <v>4200</v>
      </c>
      <c r="I272" t="s">
        <v>12</v>
      </c>
      <c r="J272">
        <v>2</v>
      </c>
      <c r="K272">
        <v>8400</v>
      </c>
    </row>
    <row r="273" spans="1:11" x14ac:dyDescent="0.3">
      <c r="A273" t="s">
        <v>603</v>
      </c>
      <c r="B273" t="s">
        <v>2951</v>
      </c>
      <c r="C273" t="s">
        <v>263</v>
      </c>
      <c r="D273" t="s">
        <v>11</v>
      </c>
      <c r="E273" s="1">
        <v>46119</v>
      </c>
      <c r="F273" s="1">
        <v>46135</v>
      </c>
      <c r="G273" s="1"/>
      <c r="H273">
        <v>4800</v>
      </c>
      <c r="I273" t="s">
        <v>12</v>
      </c>
      <c r="J273">
        <v>7</v>
      </c>
      <c r="K273">
        <v>33600</v>
      </c>
    </row>
    <row r="274" spans="1:11" x14ac:dyDescent="0.3">
      <c r="A274" t="s">
        <v>6053</v>
      </c>
      <c r="B274" t="s">
        <v>2751</v>
      </c>
      <c r="C274" t="s">
        <v>45</v>
      </c>
      <c r="D274" t="s">
        <v>33</v>
      </c>
      <c r="E274" s="1">
        <v>46108</v>
      </c>
      <c r="F274" s="1">
        <v>46189</v>
      </c>
      <c r="G274" s="1"/>
      <c r="H274">
        <v>7700</v>
      </c>
      <c r="I274" t="s">
        <v>12</v>
      </c>
      <c r="J274">
        <v>2</v>
      </c>
      <c r="K274">
        <v>15400</v>
      </c>
    </row>
    <row r="275" spans="1:11" x14ac:dyDescent="0.3">
      <c r="A275" t="s">
        <v>605</v>
      </c>
      <c r="B275" t="s">
        <v>4321</v>
      </c>
      <c r="C275" t="s">
        <v>67</v>
      </c>
      <c r="D275" t="s">
        <v>33</v>
      </c>
      <c r="E275" s="1">
        <v>46115</v>
      </c>
      <c r="F275" s="1">
        <v>46169</v>
      </c>
      <c r="G275" s="1"/>
      <c r="H275">
        <v>9000</v>
      </c>
      <c r="I275" t="s">
        <v>12</v>
      </c>
      <c r="J275">
        <v>2</v>
      </c>
      <c r="K275">
        <v>18000</v>
      </c>
    </row>
    <row r="276" spans="1:11" x14ac:dyDescent="0.3">
      <c r="A276" t="s">
        <v>607</v>
      </c>
      <c r="B276" t="s">
        <v>916</v>
      </c>
      <c r="C276" t="s">
        <v>711</v>
      </c>
      <c r="D276" t="s">
        <v>237</v>
      </c>
      <c r="E276" s="1">
        <v>46113</v>
      </c>
      <c r="F276" s="1">
        <v>46142</v>
      </c>
      <c r="G276" s="1">
        <v>46146</v>
      </c>
      <c r="H276">
        <v>7000</v>
      </c>
      <c r="I276" t="s">
        <v>38</v>
      </c>
      <c r="J276">
        <v>4</v>
      </c>
      <c r="K276">
        <v>28000</v>
      </c>
    </row>
    <row r="277" spans="1:11" x14ac:dyDescent="0.3">
      <c r="A277" t="s">
        <v>609</v>
      </c>
      <c r="B277" t="s">
        <v>2013</v>
      </c>
      <c r="C277" t="s">
        <v>130</v>
      </c>
      <c r="D277" t="s">
        <v>26</v>
      </c>
      <c r="E277" s="1">
        <v>46063</v>
      </c>
      <c r="F277" s="1">
        <v>46080</v>
      </c>
      <c r="G277" s="1"/>
      <c r="H277">
        <v>6400</v>
      </c>
      <c r="I277" t="s">
        <v>12</v>
      </c>
      <c r="J277">
        <v>7</v>
      </c>
      <c r="K277">
        <v>44800</v>
      </c>
    </row>
    <row r="278" spans="1:11" x14ac:dyDescent="0.3">
      <c r="A278" t="s">
        <v>611</v>
      </c>
      <c r="B278" t="s">
        <v>962</v>
      </c>
      <c r="C278" t="s">
        <v>488</v>
      </c>
      <c r="D278" t="s">
        <v>26</v>
      </c>
      <c r="E278" s="1">
        <v>46156</v>
      </c>
      <c r="F278" s="1"/>
      <c r="G278" s="1"/>
      <c r="H278">
        <v>4500</v>
      </c>
      <c r="I278" t="s">
        <v>76</v>
      </c>
      <c r="J278">
        <v>0</v>
      </c>
      <c r="K278">
        <v>0</v>
      </c>
    </row>
    <row r="279" spans="1:11" x14ac:dyDescent="0.3">
      <c r="A279" t="s">
        <v>613</v>
      </c>
      <c r="B279" t="s">
        <v>2528</v>
      </c>
      <c r="C279" t="s">
        <v>255</v>
      </c>
      <c r="D279" t="s">
        <v>42</v>
      </c>
      <c r="E279" s="1">
        <v>46127</v>
      </c>
      <c r="F279" s="1">
        <v>46157</v>
      </c>
      <c r="G279" s="1">
        <v>46163</v>
      </c>
      <c r="H279">
        <v>4200</v>
      </c>
      <c r="I279" t="s">
        <v>38</v>
      </c>
      <c r="J279">
        <v>6</v>
      </c>
      <c r="K279">
        <v>25200</v>
      </c>
    </row>
    <row r="280" spans="1:11" x14ac:dyDescent="0.3">
      <c r="A280" t="s">
        <v>615</v>
      </c>
      <c r="B280" t="s">
        <v>4174</v>
      </c>
      <c r="C280" t="s">
        <v>64</v>
      </c>
      <c r="D280" t="s">
        <v>33</v>
      </c>
      <c r="E280" s="1">
        <v>46045</v>
      </c>
      <c r="F280" s="1">
        <v>46108</v>
      </c>
      <c r="G280" s="1"/>
      <c r="H280">
        <v>4700</v>
      </c>
      <c r="I280" t="s">
        <v>12</v>
      </c>
      <c r="J280">
        <v>7</v>
      </c>
      <c r="K280">
        <v>32900</v>
      </c>
    </row>
    <row r="281" spans="1:11" x14ac:dyDescent="0.3">
      <c r="A281" t="s">
        <v>617</v>
      </c>
      <c r="B281" t="s">
        <v>4105</v>
      </c>
      <c r="C281" t="s">
        <v>146</v>
      </c>
      <c r="D281" t="s">
        <v>19</v>
      </c>
      <c r="E281" s="1">
        <v>46076</v>
      </c>
      <c r="F281" s="1">
        <v>46121</v>
      </c>
      <c r="G281" s="1"/>
      <c r="H281">
        <v>4700</v>
      </c>
      <c r="I281" t="s">
        <v>12</v>
      </c>
      <c r="J281">
        <v>7</v>
      </c>
      <c r="K281">
        <v>32900</v>
      </c>
    </row>
    <row r="282" spans="1:11" x14ac:dyDescent="0.3">
      <c r="A282" t="s">
        <v>619</v>
      </c>
      <c r="B282" t="s">
        <v>2149</v>
      </c>
      <c r="C282" t="s">
        <v>258</v>
      </c>
      <c r="D282" t="s">
        <v>26</v>
      </c>
      <c r="E282" s="1">
        <v>46101</v>
      </c>
      <c r="F282" s="1">
        <v>46111</v>
      </c>
      <c r="G282" s="1"/>
      <c r="H282">
        <v>4700</v>
      </c>
      <c r="I282" t="s">
        <v>12</v>
      </c>
      <c r="J282">
        <v>2</v>
      </c>
      <c r="K282">
        <v>9400</v>
      </c>
    </row>
    <row r="283" spans="1:11" x14ac:dyDescent="0.3">
      <c r="A283" t="s">
        <v>621</v>
      </c>
      <c r="B283" t="s">
        <v>912</v>
      </c>
      <c r="C283" t="s">
        <v>22</v>
      </c>
      <c r="D283" t="s">
        <v>11</v>
      </c>
      <c r="E283" s="1">
        <v>46164</v>
      </c>
      <c r="F283" s="1">
        <v>46189</v>
      </c>
      <c r="G283" s="1"/>
      <c r="H283">
        <v>7000</v>
      </c>
      <c r="I283" t="s">
        <v>12</v>
      </c>
      <c r="J283">
        <v>1</v>
      </c>
      <c r="K283">
        <v>7000</v>
      </c>
    </row>
    <row r="284" spans="1:11" x14ac:dyDescent="0.3">
      <c r="A284" t="s">
        <v>623</v>
      </c>
      <c r="B284" t="s">
        <v>2302</v>
      </c>
      <c r="C284" t="s">
        <v>45</v>
      </c>
      <c r="D284" t="s">
        <v>26</v>
      </c>
      <c r="E284" s="1">
        <v>46169</v>
      </c>
      <c r="F284" s="1">
        <v>46190</v>
      </c>
      <c r="G284" s="1"/>
      <c r="H284">
        <v>7700</v>
      </c>
      <c r="I284" t="s">
        <v>12</v>
      </c>
      <c r="J284">
        <v>7</v>
      </c>
      <c r="K284">
        <v>53900</v>
      </c>
    </row>
    <row r="285" spans="1:11" x14ac:dyDescent="0.3">
      <c r="A285" t="s">
        <v>625</v>
      </c>
      <c r="B285" t="s">
        <v>3947</v>
      </c>
      <c r="C285" t="s">
        <v>439</v>
      </c>
      <c r="D285" t="s">
        <v>48</v>
      </c>
      <c r="E285" s="1">
        <v>46193</v>
      </c>
      <c r="F285" s="1">
        <v>46194</v>
      </c>
      <c r="G285" s="1"/>
      <c r="H285">
        <v>4800</v>
      </c>
      <c r="I285" t="s">
        <v>49</v>
      </c>
      <c r="J285">
        <v>1</v>
      </c>
      <c r="K285">
        <v>4800</v>
      </c>
    </row>
    <row r="286" spans="1:11" x14ac:dyDescent="0.3">
      <c r="A286" t="s">
        <v>627</v>
      </c>
      <c r="B286" t="s">
        <v>719</v>
      </c>
      <c r="C286" t="s">
        <v>583</v>
      </c>
      <c r="D286" t="s">
        <v>26</v>
      </c>
      <c r="E286" s="1">
        <v>46040</v>
      </c>
      <c r="F286" s="1">
        <v>46109</v>
      </c>
      <c r="G286" s="1"/>
      <c r="H286">
        <v>5500</v>
      </c>
      <c r="I286" t="s">
        <v>12</v>
      </c>
      <c r="J286">
        <v>3</v>
      </c>
      <c r="K286">
        <v>16500</v>
      </c>
    </row>
    <row r="287" spans="1:11" x14ac:dyDescent="0.3">
      <c r="A287" t="s">
        <v>629</v>
      </c>
      <c r="B287" t="s">
        <v>3377</v>
      </c>
      <c r="C287" t="s">
        <v>98</v>
      </c>
      <c r="D287" t="s">
        <v>26</v>
      </c>
      <c r="E287" s="1">
        <v>46094</v>
      </c>
      <c r="F287" s="1">
        <v>46141</v>
      </c>
      <c r="G287" s="1"/>
      <c r="H287">
        <v>6700</v>
      </c>
      <c r="I287" t="s">
        <v>12</v>
      </c>
      <c r="J287">
        <v>5</v>
      </c>
      <c r="K287">
        <v>33500</v>
      </c>
    </row>
    <row r="288" spans="1:11" x14ac:dyDescent="0.3">
      <c r="A288" t="s">
        <v>6054</v>
      </c>
      <c r="B288" t="s">
        <v>4356</v>
      </c>
      <c r="C288" t="s">
        <v>175</v>
      </c>
      <c r="D288" t="s">
        <v>11</v>
      </c>
      <c r="E288" s="1">
        <v>46073</v>
      </c>
      <c r="F288" s="1">
        <v>46123</v>
      </c>
      <c r="G288" s="1"/>
      <c r="H288">
        <v>6200</v>
      </c>
      <c r="I288" t="s">
        <v>12</v>
      </c>
      <c r="J288">
        <v>5</v>
      </c>
      <c r="K288">
        <v>31000</v>
      </c>
    </row>
    <row r="289" spans="1:11" x14ac:dyDescent="0.3">
      <c r="A289" t="s">
        <v>631</v>
      </c>
      <c r="B289" t="s">
        <v>384</v>
      </c>
      <c r="C289" t="s">
        <v>245</v>
      </c>
      <c r="D289" t="s">
        <v>19</v>
      </c>
      <c r="E289" s="1">
        <v>46193</v>
      </c>
      <c r="F289" s="1">
        <v>46216</v>
      </c>
      <c r="G289" s="1"/>
      <c r="H289">
        <v>8300</v>
      </c>
      <c r="I289" t="s">
        <v>12</v>
      </c>
      <c r="J289">
        <v>2</v>
      </c>
      <c r="K289">
        <v>16600</v>
      </c>
    </row>
    <row r="290" spans="1:11" x14ac:dyDescent="0.3">
      <c r="A290" t="s">
        <v>6055</v>
      </c>
      <c r="B290" t="s">
        <v>278</v>
      </c>
      <c r="C290" t="s">
        <v>130</v>
      </c>
      <c r="D290" t="s">
        <v>19</v>
      </c>
      <c r="E290" s="1">
        <v>46024</v>
      </c>
      <c r="F290" s="1">
        <v>46058</v>
      </c>
      <c r="G290" s="1"/>
      <c r="H290">
        <v>6400</v>
      </c>
      <c r="I290" t="s">
        <v>12</v>
      </c>
      <c r="J290">
        <v>6</v>
      </c>
      <c r="K290">
        <v>38400</v>
      </c>
    </row>
    <row r="291" spans="1:11" x14ac:dyDescent="0.3">
      <c r="A291" t="s">
        <v>633</v>
      </c>
      <c r="B291" t="s">
        <v>1401</v>
      </c>
      <c r="C291" t="s">
        <v>133</v>
      </c>
      <c r="D291" t="s">
        <v>95</v>
      </c>
      <c r="E291" s="1">
        <v>46202</v>
      </c>
      <c r="F291" s="1">
        <v>46252</v>
      </c>
      <c r="G291" s="1">
        <v>46255</v>
      </c>
      <c r="H291">
        <v>7000</v>
      </c>
      <c r="I291" t="s">
        <v>38</v>
      </c>
      <c r="J291">
        <v>3</v>
      </c>
      <c r="K291">
        <v>21000</v>
      </c>
    </row>
    <row r="292" spans="1:11" x14ac:dyDescent="0.3">
      <c r="A292" t="s">
        <v>635</v>
      </c>
      <c r="B292" t="s">
        <v>566</v>
      </c>
      <c r="C292" t="s">
        <v>32</v>
      </c>
      <c r="D292" t="s">
        <v>11</v>
      </c>
      <c r="E292" s="1">
        <v>46094</v>
      </c>
      <c r="F292" s="1">
        <v>46153</v>
      </c>
      <c r="G292" s="1"/>
      <c r="H292">
        <v>7000</v>
      </c>
      <c r="I292" t="s">
        <v>12</v>
      </c>
      <c r="J292">
        <v>2</v>
      </c>
      <c r="K292">
        <v>14000</v>
      </c>
    </row>
    <row r="293" spans="1:11" x14ac:dyDescent="0.3">
      <c r="A293" t="s">
        <v>637</v>
      </c>
      <c r="B293" t="s">
        <v>4087</v>
      </c>
      <c r="C293" t="s">
        <v>594</v>
      </c>
      <c r="D293" t="s">
        <v>48</v>
      </c>
      <c r="E293" s="1">
        <v>46052</v>
      </c>
      <c r="F293" s="1">
        <v>46068</v>
      </c>
      <c r="G293" s="1">
        <v>46070</v>
      </c>
      <c r="H293">
        <v>6500</v>
      </c>
      <c r="I293" t="s">
        <v>38</v>
      </c>
      <c r="J293">
        <v>2</v>
      </c>
      <c r="K293">
        <v>13000</v>
      </c>
    </row>
    <row r="294" spans="1:11" x14ac:dyDescent="0.3">
      <c r="A294" t="s">
        <v>639</v>
      </c>
      <c r="B294" t="s">
        <v>2888</v>
      </c>
      <c r="C294" t="s">
        <v>326</v>
      </c>
      <c r="D294" t="s">
        <v>26</v>
      </c>
      <c r="E294" s="1">
        <v>46178</v>
      </c>
      <c r="F294" s="1">
        <v>46245</v>
      </c>
      <c r="G294" s="1"/>
      <c r="H294">
        <v>4000</v>
      </c>
      <c r="I294" t="s">
        <v>12</v>
      </c>
      <c r="J294">
        <v>5</v>
      </c>
      <c r="K294">
        <v>20000</v>
      </c>
    </row>
    <row r="295" spans="1:11" x14ac:dyDescent="0.3">
      <c r="A295" t="s">
        <v>641</v>
      </c>
      <c r="B295" t="s">
        <v>148</v>
      </c>
      <c r="C295" t="s">
        <v>526</v>
      </c>
      <c r="D295" t="s">
        <v>42</v>
      </c>
      <c r="E295" s="1">
        <v>46139</v>
      </c>
      <c r="F295" s="1">
        <v>46192</v>
      </c>
      <c r="G295" s="1">
        <v>46197</v>
      </c>
      <c r="H295">
        <v>6200</v>
      </c>
      <c r="I295" t="s">
        <v>38</v>
      </c>
      <c r="J295">
        <v>5</v>
      </c>
      <c r="K295">
        <v>31000</v>
      </c>
    </row>
    <row r="296" spans="1:11" x14ac:dyDescent="0.3">
      <c r="A296" t="s">
        <v>6056</v>
      </c>
      <c r="B296" t="s">
        <v>749</v>
      </c>
      <c r="C296" t="s">
        <v>222</v>
      </c>
      <c r="D296" t="s">
        <v>19</v>
      </c>
      <c r="E296" s="1">
        <v>46106</v>
      </c>
      <c r="F296" s="1">
        <v>46178</v>
      </c>
      <c r="G296" s="1"/>
      <c r="H296">
        <v>5200</v>
      </c>
      <c r="I296" t="s">
        <v>12</v>
      </c>
      <c r="J296">
        <v>4</v>
      </c>
      <c r="K296">
        <v>20800</v>
      </c>
    </row>
    <row r="297" spans="1:11" x14ac:dyDescent="0.3">
      <c r="A297" t="s">
        <v>643</v>
      </c>
      <c r="B297" t="s">
        <v>616</v>
      </c>
      <c r="C297" t="s">
        <v>29</v>
      </c>
      <c r="D297" t="s">
        <v>33</v>
      </c>
      <c r="E297" s="1">
        <v>46029</v>
      </c>
      <c r="F297" s="1">
        <v>46117</v>
      </c>
      <c r="G297" s="1"/>
      <c r="H297">
        <v>5000</v>
      </c>
      <c r="I297" t="s">
        <v>12</v>
      </c>
      <c r="J297">
        <v>6</v>
      </c>
      <c r="K297">
        <v>30000</v>
      </c>
    </row>
    <row r="298" spans="1:11" x14ac:dyDescent="0.3">
      <c r="A298" t="s">
        <v>645</v>
      </c>
      <c r="B298" t="s">
        <v>564</v>
      </c>
      <c r="C298" t="s">
        <v>119</v>
      </c>
      <c r="D298" t="s">
        <v>26</v>
      </c>
      <c r="E298" s="1">
        <v>46096</v>
      </c>
      <c r="F298" s="1">
        <v>46116</v>
      </c>
      <c r="G298" s="1"/>
      <c r="H298">
        <v>4700</v>
      </c>
      <c r="I298" t="s">
        <v>12</v>
      </c>
      <c r="J298">
        <v>1</v>
      </c>
      <c r="K298">
        <v>4700</v>
      </c>
    </row>
    <row r="299" spans="1:11" x14ac:dyDescent="0.3">
      <c r="A299" t="s">
        <v>647</v>
      </c>
      <c r="B299" t="s">
        <v>3279</v>
      </c>
      <c r="C299" t="s">
        <v>25</v>
      </c>
      <c r="D299" t="s">
        <v>19</v>
      </c>
      <c r="E299" s="1">
        <v>46128</v>
      </c>
      <c r="F299" s="1"/>
      <c r="G299" s="1"/>
      <c r="H299">
        <v>6700</v>
      </c>
      <c r="I299" t="s">
        <v>76</v>
      </c>
      <c r="J299">
        <v>0</v>
      </c>
      <c r="K299">
        <v>0</v>
      </c>
    </row>
    <row r="300" spans="1:11" x14ac:dyDescent="0.3">
      <c r="A300" t="s">
        <v>649</v>
      </c>
      <c r="B300" t="s">
        <v>1012</v>
      </c>
      <c r="C300" t="s">
        <v>366</v>
      </c>
      <c r="D300" t="s">
        <v>26</v>
      </c>
      <c r="E300" s="1">
        <v>46093</v>
      </c>
      <c r="F300" s="1">
        <v>46148</v>
      </c>
      <c r="G300" s="1"/>
      <c r="H300">
        <v>7700</v>
      </c>
      <c r="I300" t="s">
        <v>12</v>
      </c>
      <c r="J300">
        <v>6</v>
      </c>
      <c r="K300">
        <v>46200</v>
      </c>
    </row>
    <row r="301" spans="1:11" x14ac:dyDescent="0.3">
      <c r="A301" t="s">
        <v>651</v>
      </c>
      <c r="B301" t="s">
        <v>596</v>
      </c>
      <c r="C301" t="s">
        <v>594</v>
      </c>
      <c r="D301" t="s">
        <v>11</v>
      </c>
      <c r="E301" s="1">
        <v>46052</v>
      </c>
      <c r="F301" s="1">
        <v>46105</v>
      </c>
      <c r="G301" s="1"/>
      <c r="H301">
        <v>6500</v>
      </c>
      <c r="I301" t="s">
        <v>12</v>
      </c>
      <c r="J301">
        <v>2</v>
      </c>
      <c r="K301">
        <v>13000</v>
      </c>
    </row>
    <row r="302" spans="1:11" x14ac:dyDescent="0.3">
      <c r="A302" t="s">
        <v>653</v>
      </c>
      <c r="B302" t="s">
        <v>3776</v>
      </c>
      <c r="C302" t="s">
        <v>294</v>
      </c>
      <c r="D302" t="s">
        <v>19</v>
      </c>
      <c r="E302" s="1">
        <v>46096</v>
      </c>
      <c r="F302" s="1">
        <v>46144</v>
      </c>
      <c r="G302" s="1"/>
      <c r="H302">
        <v>6400</v>
      </c>
      <c r="I302" t="s">
        <v>12</v>
      </c>
      <c r="J302">
        <v>6</v>
      </c>
      <c r="K302">
        <v>38400</v>
      </c>
    </row>
    <row r="303" spans="1:11" x14ac:dyDescent="0.3">
      <c r="A303" t="s">
        <v>655</v>
      </c>
      <c r="B303" t="s">
        <v>2074</v>
      </c>
      <c r="C303" t="s">
        <v>67</v>
      </c>
      <c r="D303" t="s">
        <v>11</v>
      </c>
      <c r="E303" s="1">
        <v>46085</v>
      </c>
      <c r="F303" s="1">
        <v>46147</v>
      </c>
      <c r="G303" s="1"/>
      <c r="H303">
        <v>9000</v>
      </c>
      <c r="I303" t="s">
        <v>12</v>
      </c>
      <c r="J303">
        <v>4</v>
      </c>
      <c r="K303">
        <v>36000</v>
      </c>
    </row>
    <row r="304" spans="1:11" x14ac:dyDescent="0.3">
      <c r="A304" t="s">
        <v>6057</v>
      </c>
      <c r="B304" t="s">
        <v>1611</v>
      </c>
      <c r="C304" t="s">
        <v>594</v>
      </c>
      <c r="D304" t="s">
        <v>48</v>
      </c>
      <c r="E304" s="1">
        <v>46060</v>
      </c>
      <c r="F304" s="1">
        <v>46061</v>
      </c>
      <c r="G304" s="1">
        <v>46068</v>
      </c>
      <c r="H304">
        <v>6500</v>
      </c>
      <c r="I304" t="s">
        <v>38</v>
      </c>
      <c r="J304">
        <v>7</v>
      </c>
      <c r="K304">
        <v>45500</v>
      </c>
    </row>
    <row r="305" spans="1:11" x14ac:dyDescent="0.3">
      <c r="A305" t="s">
        <v>6058</v>
      </c>
      <c r="B305" t="s">
        <v>3403</v>
      </c>
      <c r="C305" t="s">
        <v>81</v>
      </c>
      <c r="D305" t="s">
        <v>26</v>
      </c>
      <c r="E305" s="1">
        <v>46053</v>
      </c>
      <c r="F305" s="1">
        <v>46080</v>
      </c>
      <c r="G305" s="1"/>
      <c r="H305">
        <v>4200</v>
      </c>
      <c r="I305" t="s">
        <v>12</v>
      </c>
      <c r="J305">
        <v>6</v>
      </c>
      <c r="K305">
        <v>25200</v>
      </c>
    </row>
    <row r="306" spans="1:11" x14ac:dyDescent="0.3">
      <c r="A306" t="s">
        <v>657</v>
      </c>
      <c r="B306" t="s">
        <v>795</v>
      </c>
      <c r="C306" t="s">
        <v>366</v>
      </c>
      <c r="D306" t="s">
        <v>26</v>
      </c>
      <c r="E306" s="1">
        <v>46187</v>
      </c>
      <c r="F306" s="1">
        <v>46209</v>
      </c>
      <c r="G306" s="1"/>
      <c r="H306">
        <v>7700</v>
      </c>
      <c r="I306" t="s">
        <v>12</v>
      </c>
      <c r="J306">
        <v>5</v>
      </c>
      <c r="K306">
        <v>38500</v>
      </c>
    </row>
    <row r="307" spans="1:11" x14ac:dyDescent="0.3">
      <c r="A307" t="s">
        <v>659</v>
      </c>
      <c r="B307" t="s">
        <v>962</v>
      </c>
      <c r="C307" t="s">
        <v>130</v>
      </c>
      <c r="D307" t="s">
        <v>26</v>
      </c>
      <c r="E307" s="1">
        <v>46047</v>
      </c>
      <c r="F307" s="1">
        <v>46088</v>
      </c>
      <c r="G307" s="1"/>
      <c r="H307">
        <v>6400</v>
      </c>
      <c r="I307" t="s">
        <v>12</v>
      </c>
      <c r="J307">
        <v>1</v>
      </c>
      <c r="K307">
        <v>6400</v>
      </c>
    </row>
    <row r="308" spans="1:11" x14ac:dyDescent="0.3">
      <c r="A308" t="s">
        <v>661</v>
      </c>
      <c r="B308" t="s">
        <v>696</v>
      </c>
      <c r="C308" t="s">
        <v>185</v>
      </c>
      <c r="D308" t="s">
        <v>37</v>
      </c>
      <c r="E308" s="1">
        <v>46084</v>
      </c>
      <c r="F308" s="1">
        <v>46085</v>
      </c>
      <c r="G308" s="1"/>
      <c r="H308">
        <v>5700</v>
      </c>
      <c r="I308" t="s">
        <v>49</v>
      </c>
      <c r="J308">
        <v>1</v>
      </c>
      <c r="K308">
        <v>5700</v>
      </c>
    </row>
    <row r="309" spans="1:11" x14ac:dyDescent="0.3">
      <c r="A309" t="s">
        <v>663</v>
      </c>
      <c r="B309" t="s">
        <v>2878</v>
      </c>
      <c r="C309" t="s">
        <v>338</v>
      </c>
      <c r="D309" t="s">
        <v>58</v>
      </c>
      <c r="E309" s="1">
        <v>46130</v>
      </c>
      <c r="F309" s="1">
        <v>46149</v>
      </c>
      <c r="G309" s="1">
        <v>46150</v>
      </c>
      <c r="H309">
        <v>7700</v>
      </c>
      <c r="I309" t="s">
        <v>38</v>
      </c>
      <c r="J309">
        <v>1</v>
      </c>
      <c r="K309">
        <v>7700</v>
      </c>
    </row>
    <row r="310" spans="1:11" x14ac:dyDescent="0.3">
      <c r="A310" t="s">
        <v>665</v>
      </c>
      <c r="B310" t="s">
        <v>4417</v>
      </c>
      <c r="C310" t="s">
        <v>263</v>
      </c>
      <c r="D310" t="s">
        <v>33</v>
      </c>
      <c r="E310" s="1">
        <v>46056</v>
      </c>
      <c r="F310" s="1">
        <v>46081</v>
      </c>
      <c r="G310" s="1"/>
      <c r="H310">
        <v>4800</v>
      </c>
      <c r="I310" t="s">
        <v>12</v>
      </c>
      <c r="J310">
        <v>4</v>
      </c>
      <c r="K310">
        <v>19200</v>
      </c>
    </row>
    <row r="311" spans="1:11" x14ac:dyDescent="0.3">
      <c r="A311" t="s">
        <v>6059</v>
      </c>
      <c r="B311" t="s">
        <v>2485</v>
      </c>
      <c r="C311" t="s">
        <v>29</v>
      </c>
      <c r="D311" t="s">
        <v>33</v>
      </c>
      <c r="E311" s="1">
        <v>46120</v>
      </c>
      <c r="F311" s="1">
        <v>46195</v>
      </c>
      <c r="G311" s="1"/>
      <c r="H311">
        <v>5000</v>
      </c>
      <c r="I311" t="s">
        <v>12</v>
      </c>
      <c r="J311">
        <v>5</v>
      </c>
      <c r="K311">
        <v>25000</v>
      </c>
    </row>
    <row r="312" spans="1:11" x14ac:dyDescent="0.3">
      <c r="A312" t="s">
        <v>6060</v>
      </c>
      <c r="B312" t="s">
        <v>1719</v>
      </c>
      <c r="C312" t="s">
        <v>61</v>
      </c>
      <c r="D312" t="s">
        <v>19</v>
      </c>
      <c r="E312" s="1">
        <v>46132</v>
      </c>
      <c r="F312" s="1"/>
      <c r="G312" s="1"/>
      <c r="H312">
        <v>3500</v>
      </c>
      <c r="I312" t="s">
        <v>76</v>
      </c>
      <c r="J312">
        <v>0</v>
      </c>
      <c r="K312">
        <v>0</v>
      </c>
    </row>
    <row r="313" spans="1:11" x14ac:dyDescent="0.3">
      <c r="A313" t="s">
        <v>667</v>
      </c>
      <c r="B313" t="s">
        <v>2819</v>
      </c>
      <c r="C313" t="s">
        <v>175</v>
      </c>
      <c r="D313" t="s">
        <v>223</v>
      </c>
      <c r="E313" s="1">
        <v>46118</v>
      </c>
      <c r="F313" s="1">
        <v>46168</v>
      </c>
      <c r="G313" s="1">
        <v>46170</v>
      </c>
      <c r="H313">
        <v>6200</v>
      </c>
      <c r="I313" t="s">
        <v>38</v>
      </c>
      <c r="J313">
        <v>2</v>
      </c>
      <c r="K313">
        <v>12400</v>
      </c>
    </row>
    <row r="314" spans="1:11" x14ac:dyDescent="0.3">
      <c r="A314" t="s">
        <v>669</v>
      </c>
      <c r="B314" t="s">
        <v>3053</v>
      </c>
      <c r="C314" t="s">
        <v>122</v>
      </c>
      <c r="D314" t="s">
        <v>19</v>
      </c>
      <c r="E314" s="1">
        <v>46032</v>
      </c>
      <c r="F314" s="1">
        <v>46053</v>
      </c>
      <c r="G314" s="1"/>
      <c r="H314">
        <v>6900</v>
      </c>
      <c r="I314" t="s">
        <v>12</v>
      </c>
      <c r="J314">
        <v>1</v>
      </c>
      <c r="K314">
        <v>6900</v>
      </c>
    </row>
    <row r="315" spans="1:11" x14ac:dyDescent="0.3">
      <c r="A315" t="s">
        <v>671</v>
      </c>
      <c r="B315" t="s">
        <v>2545</v>
      </c>
      <c r="C315" t="s">
        <v>159</v>
      </c>
      <c r="D315" t="s">
        <v>223</v>
      </c>
      <c r="E315" s="1">
        <v>46125</v>
      </c>
      <c r="F315" s="1">
        <v>46144</v>
      </c>
      <c r="G315" s="1">
        <v>46151</v>
      </c>
      <c r="H315">
        <v>7200</v>
      </c>
      <c r="I315" t="s">
        <v>38</v>
      </c>
      <c r="J315">
        <v>7</v>
      </c>
      <c r="K315">
        <v>50400</v>
      </c>
    </row>
    <row r="316" spans="1:11" x14ac:dyDescent="0.3">
      <c r="A316" t="s">
        <v>673</v>
      </c>
      <c r="B316" t="s">
        <v>1152</v>
      </c>
      <c r="C316" t="s">
        <v>125</v>
      </c>
      <c r="D316" t="s">
        <v>58</v>
      </c>
      <c r="E316" s="1">
        <v>46069</v>
      </c>
      <c r="F316" s="1">
        <v>46082</v>
      </c>
      <c r="G316" s="1">
        <v>46086</v>
      </c>
      <c r="H316">
        <v>4800</v>
      </c>
      <c r="I316" t="s">
        <v>38</v>
      </c>
      <c r="J316">
        <v>4</v>
      </c>
      <c r="K316">
        <v>19200</v>
      </c>
    </row>
    <row r="317" spans="1:11" x14ac:dyDescent="0.3">
      <c r="A317" t="s">
        <v>6061</v>
      </c>
      <c r="B317" t="s">
        <v>2530</v>
      </c>
      <c r="C317" t="s">
        <v>211</v>
      </c>
      <c r="D317" t="s">
        <v>58</v>
      </c>
      <c r="E317" s="1">
        <v>46027</v>
      </c>
      <c r="F317" s="1">
        <v>46084</v>
      </c>
      <c r="G317" s="1">
        <v>46090</v>
      </c>
      <c r="H317">
        <v>7200</v>
      </c>
      <c r="I317" t="s">
        <v>38</v>
      </c>
      <c r="J317">
        <v>6</v>
      </c>
      <c r="K317">
        <v>43200</v>
      </c>
    </row>
    <row r="318" spans="1:11" x14ac:dyDescent="0.3">
      <c r="A318" t="s">
        <v>675</v>
      </c>
      <c r="B318" t="s">
        <v>4196</v>
      </c>
      <c r="C318" t="s">
        <v>130</v>
      </c>
      <c r="D318" t="s">
        <v>48</v>
      </c>
      <c r="E318" s="1">
        <v>46165</v>
      </c>
      <c r="F318" s="1">
        <v>46205</v>
      </c>
      <c r="G318" s="1">
        <v>46210</v>
      </c>
      <c r="H318">
        <v>6400</v>
      </c>
      <c r="I318" t="s">
        <v>38</v>
      </c>
      <c r="J318">
        <v>5</v>
      </c>
      <c r="K318">
        <v>32000</v>
      </c>
    </row>
    <row r="319" spans="1:11" x14ac:dyDescent="0.3">
      <c r="A319" t="s">
        <v>677</v>
      </c>
      <c r="B319" t="s">
        <v>680</v>
      </c>
      <c r="C319" t="s">
        <v>84</v>
      </c>
      <c r="D319" t="s">
        <v>37</v>
      </c>
      <c r="E319" s="1">
        <v>46094</v>
      </c>
      <c r="F319" s="1">
        <v>46094</v>
      </c>
      <c r="G319" s="1"/>
      <c r="H319">
        <v>5200</v>
      </c>
      <c r="I319" t="s">
        <v>49</v>
      </c>
      <c r="J319">
        <v>7</v>
      </c>
      <c r="K319">
        <v>36400</v>
      </c>
    </row>
    <row r="320" spans="1:11" x14ac:dyDescent="0.3">
      <c r="A320" t="s">
        <v>679</v>
      </c>
      <c r="B320" t="s">
        <v>3841</v>
      </c>
      <c r="C320" t="s">
        <v>10</v>
      </c>
      <c r="D320" t="s">
        <v>26</v>
      </c>
      <c r="E320" s="1">
        <v>46056</v>
      </c>
      <c r="F320" s="1">
        <v>46142</v>
      </c>
      <c r="G320" s="1"/>
      <c r="H320">
        <v>6700</v>
      </c>
      <c r="I320" t="s">
        <v>12</v>
      </c>
      <c r="J320">
        <v>6</v>
      </c>
      <c r="K320">
        <v>40200</v>
      </c>
    </row>
    <row r="321" spans="1:11" x14ac:dyDescent="0.3">
      <c r="A321" t="s">
        <v>681</v>
      </c>
      <c r="B321" t="s">
        <v>3855</v>
      </c>
      <c r="C321" t="s">
        <v>343</v>
      </c>
      <c r="D321" t="s">
        <v>19</v>
      </c>
      <c r="E321" s="1">
        <v>46039</v>
      </c>
      <c r="F321" s="1">
        <v>46117</v>
      </c>
      <c r="G321" s="1"/>
      <c r="H321">
        <v>7000</v>
      </c>
      <c r="I321" t="s">
        <v>12</v>
      </c>
      <c r="J321">
        <v>7</v>
      </c>
      <c r="K321">
        <v>49000</v>
      </c>
    </row>
    <row r="322" spans="1:11" x14ac:dyDescent="0.3">
      <c r="A322" t="s">
        <v>683</v>
      </c>
      <c r="B322" t="s">
        <v>3669</v>
      </c>
      <c r="C322" t="s">
        <v>81</v>
      </c>
      <c r="D322" t="s">
        <v>11</v>
      </c>
      <c r="E322" s="1">
        <v>46154</v>
      </c>
      <c r="F322" s="1">
        <v>46224</v>
      </c>
      <c r="G322" s="1"/>
      <c r="H322">
        <v>4200</v>
      </c>
      <c r="I322" t="s">
        <v>12</v>
      </c>
      <c r="J322">
        <v>1</v>
      </c>
      <c r="K322">
        <v>4200</v>
      </c>
    </row>
    <row r="323" spans="1:11" x14ac:dyDescent="0.3">
      <c r="A323" t="s">
        <v>685</v>
      </c>
      <c r="B323" t="s">
        <v>3200</v>
      </c>
      <c r="C323" t="s">
        <v>130</v>
      </c>
      <c r="D323" t="s">
        <v>33</v>
      </c>
      <c r="E323" s="1">
        <v>46160</v>
      </c>
      <c r="F323" s="1">
        <v>46212</v>
      </c>
      <c r="G323" s="1"/>
      <c r="H323">
        <v>6400</v>
      </c>
      <c r="I323" t="s">
        <v>12</v>
      </c>
      <c r="J323">
        <v>4</v>
      </c>
      <c r="K323">
        <v>25600</v>
      </c>
    </row>
    <row r="324" spans="1:11" x14ac:dyDescent="0.3">
      <c r="A324" t="s">
        <v>687</v>
      </c>
      <c r="B324" t="s">
        <v>2657</v>
      </c>
      <c r="C324" t="s">
        <v>270</v>
      </c>
      <c r="D324" t="s">
        <v>26</v>
      </c>
      <c r="E324" s="1">
        <v>46162</v>
      </c>
      <c r="F324" s="1">
        <v>46194</v>
      </c>
      <c r="G324" s="1"/>
      <c r="H324">
        <v>4000</v>
      </c>
      <c r="I324" t="s">
        <v>12</v>
      </c>
      <c r="J324">
        <v>5</v>
      </c>
      <c r="K324">
        <v>20000</v>
      </c>
    </row>
    <row r="325" spans="1:11" x14ac:dyDescent="0.3">
      <c r="A325" t="s">
        <v>689</v>
      </c>
      <c r="B325" t="s">
        <v>2778</v>
      </c>
      <c r="C325" t="s">
        <v>87</v>
      </c>
      <c r="D325" t="s">
        <v>11</v>
      </c>
      <c r="E325" s="1">
        <v>46158</v>
      </c>
      <c r="F325" s="1">
        <v>46178</v>
      </c>
      <c r="G325" s="1"/>
      <c r="H325">
        <v>5000</v>
      </c>
      <c r="I325" t="s">
        <v>12</v>
      </c>
      <c r="J325">
        <v>1</v>
      </c>
      <c r="K325">
        <v>5000</v>
      </c>
    </row>
    <row r="326" spans="1:11" x14ac:dyDescent="0.3">
      <c r="A326" t="s">
        <v>6062</v>
      </c>
      <c r="B326" t="s">
        <v>513</v>
      </c>
      <c r="C326" t="s">
        <v>29</v>
      </c>
      <c r="D326" t="s">
        <v>48</v>
      </c>
      <c r="E326" s="1">
        <v>46124</v>
      </c>
      <c r="F326" s="1">
        <v>46125</v>
      </c>
      <c r="G326" s="1">
        <v>46127</v>
      </c>
      <c r="H326">
        <v>5000</v>
      </c>
      <c r="I326" t="s">
        <v>38</v>
      </c>
      <c r="J326">
        <v>2</v>
      </c>
      <c r="K326">
        <v>10000</v>
      </c>
    </row>
    <row r="327" spans="1:11" x14ac:dyDescent="0.3">
      <c r="A327" t="s">
        <v>691</v>
      </c>
      <c r="B327" t="s">
        <v>906</v>
      </c>
      <c r="C327" t="s">
        <v>222</v>
      </c>
      <c r="D327" t="s">
        <v>26</v>
      </c>
      <c r="E327" s="1">
        <v>46122</v>
      </c>
      <c r="F327" s="1">
        <v>46189</v>
      </c>
      <c r="G327" s="1"/>
      <c r="H327">
        <v>5200</v>
      </c>
      <c r="I327" t="s">
        <v>12</v>
      </c>
      <c r="J327">
        <v>7</v>
      </c>
      <c r="K327">
        <v>36400</v>
      </c>
    </row>
    <row r="328" spans="1:11" x14ac:dyDescent="0.3">
      <c r="A328" t="s">
        <v>693</v>
      </c>
      <c r="B328" t="s">
        <v>438</v>
      </c>
      <c r="C328" t="s">
        <v>211</v>
      </c>
      <c r="D328" t="s">
        <v>11</v>
      </c>
      <c r="E328" s="1">
        <v>46049</v>
      </c>
      <c r="F328" s="1">
        <v>46083</v>
      </c>
      <c r="G328" s="1"/>
      <c r="H328">
        <v>7200</v>
      </c>
      <c r="I328" t="s">
        <v>12</v>
      </c>
      <c r="J328">
        <v>2</v>
      </c>
      <c r="K328">
        <v>14400</v>
      </c>
    </row>
    <row r="329" spans="1:11" x14ac:dyDescent="0.3">
      <c r="A329" t="s">
        <v>695</v>
      </c>
      <c r="B329" t="s">
        <v>4429</v>
      </c>
      <c r="C329" t="s">
        <v>477</v>
      </c>
      <c r="D329" t="s">
        <v>37</v>
      </c>
      <c r="E329" s="1">
        <v>46148</v>
      </c>
      <c r="F329" s="1">
        <v>46192</v>
      </c>
      <c r="G329" s="1">
        <v>46197</v>
      </c>
      <c r="H329">
        <v>8000</v>
      </c>
      <c r="I329" t="s">
        <v>38</v>
      </c>
      <c r="J329">
        <v>5</v>
      </c>
      <c r="K329">
        <v>40000</v>
      </c>
    </row>
    <row r="330" spans="1:11" x14ac:dyDescent="0.3">
      <c r="A330" t="s">
        <v>697</v>
      </c>
      <c r="B330" t="s">
        <v>376</v>
      </c>
      <c r="C330" t="s">
        <v>149</v>
      </c>
      <c r="D330" t="s">
        <v>33</v>
      </c>
      <c r="E330" s="1">
        <v>46191</v>
      </c>
      <c r="F330" s="1"/>
      <c r="G330" s="1"/>
      <c r="H330">
        <v>6000</v>
      </c>
      <c r="I330" t="s">
        <v>76</v>
      </c>
      <c r="J330">
        <v>0</v>
      </c>
      <c r="K330">
        <v>0</v>
      </c>
    </row>
    <row r="331" spans="1:11" x14ac:dyDescent="0.3">
      <c r="A331" t="s">
        <v>699</v>
      </c>
      <c r="B331" t="s">
        <v>980</v>
      </c>
      <c r="C331" t="s">
        <v>87</v>
      </c>
      <c r="D331" t="s">
        <v>26</v>
      </c>
      <c r="E331" s="1">
        <v>46070</v>
      </c>
      <c r="F331" s="1">
        <v>46134</v>
      </c>
      <c r="G331" s="1"/>
      <c r="H331">
        <v>5000</v>
      </c>
      <c r="I331" t="s">
        <v>12</v>
      </c>
      <c r="J331">
        <v>4</v>
      </c>
      <c r="K331">
        <v>20000</v>
      </c>
    </row>
    <row r="332" spans="1:11" x14ac:dyDescent="0.3">
      <c r="A332" t="s">
        <v>701</v>
      </c>
      <c r="B332" t="s">
        <v>4417</v>
      </c>
      <c r="C332" t="s">
        <v>583</v>
      </c>
      <c r="D332" t="s">
        <v>19</v>
      </c>
      <c r="E332" s="1">
        <v>46157</v>
      </c>
      <c r="F332" s="1">
        <v>46215</v>
      </c>
      <c r="G332" s="1"/>
      <c r="H332">
        <v>5500</v>
      </c>
      <c r="I332" t="s">
        <v>12</v>
      </c>
      <c r="J332">
        <v>6</v>
      </c>
      <c r="K332">
        <v>33000</v>
      </c>
    </row>
    <row r="333" spans="1:11" x14ac:dyDescent="0.3">
      <c r="A333" t="s">
        <v>703</v>
      </c>
      <c r="B333" t="s">
        <v>1663</v>
      </c>
      <c r="C333" t="s">
        <v>240</v>
      </c>
      <c r="D333" t="s">
        <v>237</v>
      </c>
      <c r="E333" s="1">
        <v>46127</v>
      </c>
      <c r="F333" s="1">
        <v>46158</v>
      </c>
      <c r="G333" s="1">
        <v>46159</v>
      </c>
      <c r="H333">
        <v>5400</v>
      </c>
      <c r="I333" t="s">
        <v>38</v>
      </c>
      <c r="J333">
        <v>1</v>
      </c>
      <c r="K333">
        <v>5400</v>
      </c>
    </row>
    <row r="334" spans="1:11" x14ac:dyDescent="0.3">
      <c r="A334" t="s">
        <v>705</v>
      </c>
      <c r="B334" t="s">
        <v>1791</v>
      </c>
      <c r="C334" t="s">
        <v>550</v>
      </c>
      <c r="D334" t="s">
        <v>95</v>
      </c>
      <c r="E334" s="1">
        <v>46056</v>
      </c>
      <c r="F334" s="1">
        <v>46057</v>
      </c>
      <c r="G334" s="1"/>
      <c r="H334">
        <v>6000</v>
      </c>
      <c r="I334" t="s">
        <v>49</v>
      </c>
      <c r="J334">
        <v>2</v>
      </c>
      <c r="K334">
        <v>12000</v>
      </c>
    </row>
    <row r="335" spans="1:11" x14ac:dyDescent="0.3">
      <c r="A335" t="s">
        <v>707</v>
      </c>
      <c r="B335" t="s">
        <v>2350</v>
      </c>
      <c r="C335" t="s">
        <v>73</v>
      </c>
      <c r="D335" t="s">
        <v>26</v>
      </c>
      <c r="E335" s="1">
        <v>46149</v>
      </c>
      <c r="F335" s="1">
        <v>46173</v>
      </c>
      <c r="G335" s="1"/>
      <c r="H335">
        <v>7800</v>
      </c>
      <c r="I335" t="s">
        <v>12</v>
      </c>
      <c r="J335">
        <v>1</v>
      </c>
      <c r="K335">
        <v>7800</v>
      </c>
    </row>
    <row r="336" spans="1:11" x14ac:dyDescent="0.3">
      <c r="A336" t="s">
        <v>709</v>
      </c>
      <c r="B336" t="s">
        <v>3285</v>
      </c>
      <c r="C336" t="s">
        <v>366</v>
      </c>
      <c r="D336" t="s">
        <v>19</v>
      </c>
      <c r="E336" s="1">
        <v>46039</v>
      </c>
      <c r="F336" s="1">
        <v>46087</v>
      </c>
      <c r="G336" s="1"/>
      <c r="H336">
        <v>7700</v>
      </c>
      <c r="I336" t="s">
        <v>12</v>
      </c>
      <c r="J336">
        <v>6</v>
      </c>
      <c r="K336">
        <v>46200</v>
      </c>
    </row>
    <row r="337" spans="1:11" x14ac:dyDescent="0.3">
      <c r="A337" t="s">
        <v>712</v>
      </c>
      <c r="B337" t="s">
        <v>2686</v>
      </c>
      <c r="C337" t="s">
        <v>22</v>
      </c>
      <c r="D337" t="s">
        <v>19</v>
      </c>
      <c r="E337" s="1">
        <v>46158</v>
      </c>
      <c r="F337" s="1">
        <v>46179</v>
      </c>
      <c r="G337" s="1"/>
      <c r="H337">
        <v>7000</v>
      </c>
      <c r="I337" t="s">
        <v>12</v>
      </c>
      <c r="J337">
        <v>1</v>
      </c>
      <c r="K337">
        <v>7000</v>
      </c>
    </row>
    <row r="338" spans="1:11" x14ac:dyDescent="0.3">
      <c r="A338" t="s">
        <v>714</v>
      </c>
      <c r="B338" t="s">
        <v>2843</v>
      </c>
      <c r="C338" t="s">
        <v>41</v>
      </c>
      <c r="D338" t="s">
        <v>37</v>
      </c>
      <c r="E338" s="1">
        <v>46178</v>
      </c>
      <c r="F338" s="1">
        <v>46178</v>
      </c>
      <c r="G338" s="1"/>
      <c r="H338">
        <v>5500</v>
      </c>
      <c r="I338" t="s">
        <v>49</v>
      </c>
      <c r="J338">
        <v>1</v>
      </c>
      <c r="K338">
        <v>5500</v>
      </c>
    </row>
    <row r="339" spans="1:11" x14ac:dyDescent="0.3">
      <c r="A339" t="s">
        <v>716</v>
      </c>
      <c r="B339" t="s">
        <v>2569</v>
      </c>
      <c r="C339" t="s">
        <v>211</v>
      </c>
      <c r="D339" t="s">
        <v>19</v>
      </c>
      <c r="E339" s="1">
        <v>46162</v>
      </c>
      <c r="F339" s="1">
        <v>46211</v>
      </c>
      <c r="G339" s="1"/>
      <c r="H339">
        <v>7200</v>
      </c>
      <c r="I339" t="s">
        <v>12</v>
      </c>
      <c r="J339">
        <v>5</v>
      </c>
      <c r="K339">
        <v>36000</v>
      </c>
    </row>
    <row r="340" spans="1:11" x14ac:dyDescent="0.3">
      <c r="A340" t="s">
        <v>718</v>
      </c>
      <c r="B340" t="s">
        <v>589</v>
      </c>
      <c r="C340" t="s">
        <v>270</v>
      </c>
      <c r="D340" t="s">
        <v>33</v>
      </c>
      <c r="E340" s="1">
        <v>46157</v>
      </c>
      <c r="F340" s="1">
        <v>46187</v>
      </c>
      <c r="G340" s="1"/>
      <c r="H340">
        <v>4000</v>
      </c>
      <c r="I340" t="s">
        <v>12</v>
      </c>
      <c r="J340">
        <v>3</v>
      </c>
      <c r="K340">
        <v>12000</v>
      </c>
    </row>
    <row r="341" spans="1:11" x14ac:dyDescent="0.3">
      <c r="A341" t="s">
        <v>720</v>
      </c>
      <c r="B341" t="s">
        <v>1846</v>
      </c>
      <c r="C341" t="s">
        <v>36</v>
      </c>
      <c r="D341" t="s">
        <v>19</v>
      </c>
      <c r="E341" s="1">
        <v>46062</v>
      </c>
      <c r="F341" s="1">
        <v>46111</v>
      </c>
      <c r="G341" s="1"/>
      <c r="H341">
        <v>7000</v>
      </c>
      <c r="I341" t="s">
        <v>12</v>
      </c>
      <c r="J341">
        <v>5</v>
      </c>
      <c r="K341">
        <v>35000</v>
      </c>
    </row>
    <row r="342" spans="1:11" x14ac:dyDescent="0.3">
      <c r="A342" t="s">
        <v>722</v>
      </c>
      <c r="B342" t="s">
        <v>3576</v>
      </c>
      <c r="C342" t="s">
        <v>10</v>
      </c>
      <c r="D342" t="s">
        <v>26</v>
      </c>
      <c r="E342" s="1">
        <v>46063</v>
      </c>
      <c r="F342" s="1">
        <v>46088</v>
      </c>
      <c r="G342" s="1"/>
      <c r="H342">
        <v>6700</v>
      </c>
      <c r="I342" t="s">
        <v>12</v>
      </c>
      <c r="J342">
        <v>7</v>
      </c>
      <c r="K342">
        <v>46900</v>
      </c>
    </row>
    <row r="343" spans="1:11" x14ac:dyDescent="0.3">
      <c r="A343" t="s">
        <v>724</v>
      </c>
      <c r="B343" t="s">
        <v>3005</v>
      </c>
      <c r="C343" t="s">
        <v>211</v>
      </c>
      <c r="D343" t="s">
        <v>19</v>
      </c>
      <c r="E343" s="1">
        <v>46184</v>
      </c>
      <c r="F343" s="1">
        <v>46238</v>
      </c>
      <c r="G343" s="1"/>
      <c r="H343">
        <v>7200</v>
      </c>
      <c r="I343" t="s">
        <v>12</v>
      </c>
      <c r="J343">
        <v>6</v>
      </c>
      <c r="K343">
        <v>43200</v>
      </c>
    </row>
    <row r="344" spans="1:11" x14ac:dyDescent="0.3">
      <c r="A344" t="s">
        <v>726</v>
      </c>
      <c r="B344" t="s">
        <v>3145</v>
      </c>
      <c r="C344" t="s">
        <v>146</v>
      </c>
      <c r="D344" t="s">
        <v>11</v>
      </c>
      <c r="E344" s="1">
        <v>46064</v>
      </c>
      <c r="F344" s="1">
        <v>46128</v>
      </c>
      <c r="G344" s="1"/>
      <c r="H344">
        <v>4700</v>
      </c>
      <c r="I344" t="s">
        <v>12</v>
      </c>
      <c r="J344">
        <v>7</v>
      </c>
      <c r="K344">
        <v>32900</v>
      </c>
    </row>
    <row r="345" spans="1:11" x14ac:dyDescent="0.3">
      <c r="A345" t="s">
        <v>728</v>
      </c>
      <c r="B345" t="s">
        <v>3482</v>
      </c>
      <c r="C345" t="s">
        <v>270</v>
      </c>
      <c r="D345" t="s">
        <v>26</v>
      </c>
      <c r="E345" s="1">
        <v>46121</v>
      </c>
      <c r="F345" s="1">
        <v>46133</v>
      </c>
      <c r="G345" s="1"/>
      <c r="H345">
        <v>4000</v>
      </c>
      <c r="I345" t="s">
        <v>12</v>
      </c>
      <c r="J345">
        <v>5</v>
      </c>
      <c r="K345">
        <v>20000</v>
      </c>
    </row>
    <row r="346" spans="1:11" x14ac:dyDescent="0.3">
      <c r="A346" t="s">
        <v>730</v>
      </c>
      <c r="B346" t="s">
        <v>916</v>
      </c>
      <c r="C346" t="s">
        <v>896</v>
      </c>
      <c r="D346" t="s">
        <v>26</v>
      </c>
      <c r="E346" s="1">
        <v>46162</v>
      </c>
      <c r="F346" s="1">
        <v>46220</v>
      </c>
      <c r="G346" s="1"/>
      <c r="H346">
        <v>6200</v>
      </c>
      <c r="I346" t="s">
        <v>12</v>
      </c>
      <c r="J346">
        <v>3</v>
      </c>
      <c r="K346">
        <v>18600</v>
      </c>
    </row>
    <row r="347" spans="1:11" x14ac:dyDescent="0.3">
      <c r="A347" t="s">
        <v>732</v>
      </c>
      <c r="B347" t="s">
        <v>2109</v>
      </c>
      <c r="C347" t="s">
        <v>18</v>
      </c>
      <c r="D347" t="s">
        <v>26</v>
      </c>
      <c r="E347" s="1">
        <v>46093</v>
      </c>
      <c r="F347" s="1">
        <v>46115</v>
      </c>
      <c r="G347" s="1"/>
      <c r="H347">
        <v>6900</v>
      </c>
      <c r="I347" t="s">
        <v>12</v>
      </c>
      <c r="J347">
        <v>2</v>
      </c>
      <c r="K347">
        <v>13800</v>
      </c>
    </row>
    <row r="348" spans="1:11" x14ac:dyDescent="0.3">
      <c r="A348" t="s">
        <v>734</v>
      </c>
      <c r="B348" t="s">
        <v>1677</v>
      </c>
      <c r="C348" t="s">
        <v>550</v>
      </c>
      <c r="D348" t="s">
        <v>223</v>
      </c>
      <c r="E348" s="1">
        <v>46173</v>
      </c>
      <c r="F348" s="1">
        <v>46173</v>
      </c>
      <c r="G348" s="1"/>
      <c r="H348">
        <v>6000</v>
      </c>
      <c r="I348" t="s">
        <v>49</v>
      </c>
      <c r="J348">
        <v>4</v>
      </c>
      <c r="K348">
        <v>24000</v>
      </c>
    </row>
    <row r="349" spans="1:11" x14ac:dyDescent="0.3">
      <c r="A349" t="s">
        <v>736</v>
      </c>
      <c r="B349" t="s">
        <v>2948</v>
      </c>
      <c r="C349" t="s">
        <v>222</v>
      </c>
      <c r="D349" t="s">
        <v>26</v>
      </c>
      <c r="E349" s="1">
        <v>46098</v>
      </c>
      <c r="F349" s="1">
        <v>46132</v>
      </c>
      <c r="G349" s="1"/>
      <c r="H349">
        <v>5200</v>
      </c>
      <c r="I349" t="s">
        <v>12</v>
      </c>
      <c r="J349">
        <v>7</v>
      </c>
      <c r="K349">
        <v>36400</v>
      </c>
    </row>
    <row r="350" spans="1:11" x14ac:dyDescent="0.3">
      <c r="A350" t="s">
        <v>738</v>
      </c>
      <c r="B350" t="s">
        <v>2805</v>
      </c>
      <c r="C350" t="s">
        <v>32</v>
      </c>
      <c r="D350" t="s">
        <v>33</v>
      </c>
      <c r="E350" s="1">
        <v>46042</v>
      </c>
      <c r="F350" s="1">
        <v>46127</v>
      </c>
      <c r="G350" s="1"/>
      <c r="H350">
        <v>7000</v>
      </c>
      <c r="I350" t="s">
        <v>12</v>
      </c>
      <c r="J350">
        <v>7</v>
      </c>
      <c r="K350">
        <v>49000</v>
      </c>
    </row>
    <row r="351" spans="1:11" x14ac:dyDescent="0.3">
      <c r="A351" t="s">
        <v>740</v>
      </c>
      <c r="B351" t="s">
        <v>2555</v>
      </c>
      <c r="C351" t="s">
        <v>407</v>
      </c>
      <c r="D351" t="s">
        <v>237</v>
      </c>
      <c r="E351" s="1">
        <v>46114</v>
      </c>
      <c r="F351" s="1">
        <v>46168</v>
      </c>
      <c r="G351" s="1">
        <v>46172</v>
      </c>
      <c r="H351">
        <v>8000</v>
      </c>
      <c r="I351" t="s">
        <v>38</v>
      </c>
      <c r="J351">
        <v>4</v>
      </c>
      <c r="K351">
        <v>32000</v>
      </c>
    </row>
    <row r="352" spans="1:11" x14ac:dyDescent="0.3">
      <c r="A352" t="s">
        <v>6063</v>
      </c>
      <c r="B352" t="s">
        <v>3677</v>
      </c>
      <c r="C352" t="s">
        <v>87</v>
      </c>
      <c r="D352" t="s">
        <v>26</v>
      </c>
      <c r="E352" s="1">
        <v>46049</v>
      </c>
      <c r="F352" s="1">
        <v>46076</v>
      </c>
      <c r="G352" s="1"/>
      <c r="H352">
        <v>5000</v>
      </c>
      <c r="I352" t="s">
        <v>12</v>
      </c>
      <c r="J352">
        <v>2</v>
      </c>
      <c r="K352">
        <v>10000</v>
      </c>
    </row>
    <row r="353" spans="1:11" x14ac:dyDescent="0.3">
      <c r="A353" t="s">
        <v>6064</v>
      </c>
      <c r="B353" t="s">
        <v>3373</v>
      </c>
      <c r="C353" t="s">
        <v>165</v>
      </c>
      <c r="D353" t="s">
        <v>19</v>
      </c>
      <c r="E353" s="1">
        <v>46114</v>
      </c>
      <c r="F353" s="1">
        <v>46187</v>
      </c>
      <c r="G353" s="1"/>
      <c r="H353">
        <v>5200</v>
      </c>
      <c r="I353" t="s">
        <v>12</v>
      </c>
      <c r="J353">
        <v>6</v>
      </c>
      <c r="K353">
        <v>31200</v>
      </c>
    </row>
    <row r="354" spans="1:11" x14ac:dyDescent="0.3">
      <c r="A354" t="s">
        <v>742</v>
      </c>
      <c r="B354" t="s">
        <v>184</v>
      </c>
      <c r="C354" t="s">
        <v>488</v>
      </c>
      <c r="D354" t="s">
        <v>95</v>
      </c>
      <c r="E354" s="1">
        <v>46056</v>
      </c>
      <c r="F354" s="1">
        <v>46094</v>
      </c>
      <c r="G354" s="1">
        <v>46100</v>
      </c>
      <c r="H354">
        <v>4500</v>
      </c>
      <c r="I354" t="s">
        <v>38</v>
      </c>
      <c r="J354">
        <v>6</v>
      </c>
      <c r="K354">
        <v>27000</v>
      </c>
    </row>
    <row r="355" spans="1:11" x14ac:dyDescent="0.3">
      <c r="A355" t="s">
        <v>744</v>
      </c>
      <c r="B355" t="s">
        <v>2160</v>
      </c>
      <c r="C355" t="s">
        <v>222</v>
      </c>
      <c r="D355" t="s">
        <v>19</v>
      </c>
      <c r="E355" s="1">
        <v>46094</v>
      </c>
      <c r="F355" s="1">
        <v>46107</v>
      </c>
      <c r="G355" s="1"/>
      <c r="H355">
        <v>5200</v>
      </c>
      <c r="I355" t="s">
        <v>12</v>
      </c>
      <c r="J355">
        <v>5</v>
      </c>
      <c r="K355">
        <v>26000</v>
      </c>
    </row>
    <row r="356" spans="1:11" x14ac:dyDescent="0.3">
      <c r="A356" t="s">
        <v>746</v>
      </c>
      <c r="B356" t="s">
        <v>1094</v>
      </c>
      <c r="C356" t="s">
        <v>326</v>
      </c>
      <c r="D356" t="s">
        <v>26</v>
      </c>
      <c r="E356" s="1">
        <v>46094</v>
      </c>
      <c r="F356" s="1">
        <v>46170</v>
      </c>
      <c r="G356" s="1"/>
      <c r="H356">
        <v>4000</v>
      </c>
      <c r="I356" t="s">
        <v>12</v>
      </c>
      <c r="J356">
        <v>2</v>
      </c>
      <c r="K356">
        <v>8000</v>
      </c>
    </row>
    <row r="357" spans="1:11" x14ac:dyDescent="0.3">
      <c r="A357" t="s">
        <v>748</v>
      </c>
      <c r="B357" t="s">
        <v>1302</v>
      </c>
      <c r="C357" t="s">
        <v>45</v>
      </c>
      <c r="D357" t="s">
        <v>33</v>
      </c>
      <c r="E357" s="1">
        <v>46096</v>
      </c>
      <c r="F357" s="1">
        <v>46139</v>
      </c>
      <c r="G357" s="1"/>
      <c r="H357">
        <v>7700</v>
      </c>
      <c r="I357" t="s">
        <v>12</v>
      </c>
      <c r="J357">
        <v>1</v>
      </c>
      <c r="K357">
        <v>7700</v>
      </c>
    </row>
    <row r="358" spans="1:11" x14ac:dyDescent="0.3">
      <c r="A358" t="s">
        <v>6065</v>
      </c>
      <c r="B358" t="s">
        <v>1613</v>
      </c>
      <c r="C358" t="s">
        <v>130</v>
      </c>
      <c r="D358" t="s">
        <v>11</v>
      </c>
      <c r="E358" s="1">
        <v>46114</v>
      </c>
      <c r="F358" s="1">
        <v>46203</v>
      </c>
      <c r="G358" s="1"/>
      <c r="H358">
        <v>6400</v>
      </c>
      <c r="I358" t="s">
        <v>12</v>
      </c>
      <c r="J358">
        <v>5</v>
      </c>
      <c r="K358">
        <v>32000</v>
      </c>
    </row>
    <row r="359" spans="1:11" x14ac:dyDescent="0.3">
      <c r="A359" t="s">
        <v>750</v>
      </c>
      <c r="B359" t="s">
        <v>1788</v>
      </c>
      <c r="C359" t="s">
        <v>294</v>
      </c>
      <c r="D359" t="s">
        <v>42</v>
      </c>
      <c r="E359" s="1">
        <v>46068</v>
      </c>
      <c r="F359" s="1">
        <v>46077</v>
      </c>
      <c r="G359" s="1">
        <v>46080</v>
      </c>
      <c r="H359">
        <v>6400</v>
      </c>
      <c r="I359" t="s">
        <v>38</v>
      </c>
      <c r="J359">
        <v>3</v>
      </c>
      <c r="K359">
        <v>19200</v>
      </c>
    </row>
    <row r="360" spans="1:11" x14ac:dyDescent="0.3">
      <c r="A360" t="s">
        <v>752</v>
      </c>
      <c r="B360" t="s">
        <v>4427</v>
      </c>
      <c r="C360" t="s">
        <v>439</v>
      </c>
      <c r="D360" t="s">
        <v>48</v>
      </c>
      <c r="E360" s="1">
        <v>46159</v>
      </c>
      <c r="F360" s="1">
        <v>46196</v>
      </c>
      <c r="G360" s="1">
        <v>46202</v>
      </c>
      <c r="H360">
        <v>4800</v>
      </c>
      <c r="I360" t="s">
        <v>38</v>
      </c>
      <c r="J360">
        <v>6</v>
      </c>
      <c r="K360">
        <v>28800</v>
      </c>
    </row>
    <row r="361" spans="1:11" x14ac:dyDescent="0.3">
      <c r="A361" t="s">
        <v>6066</v>
      </c>
      <c r="B361" t="s">
        <v>2948</v>
      </c>
      <c r="C361" t="s">
        <v>326</v>
      </c>
      <c r="D361" t="s">
        <v>223</v>
      </c>
      <c r="E361" s="1">
        <v>46050</v>
      </c>
      <c r="F361" s="1">
        <v>46061</v>
      </c>
      <c r="G361" s="1">
        <v>46065</v>
      </c>
      <c r="H361">
        <v>4000</v>
      </c>
      <c r="I361" t="s">
        <v>38</v>
      </c>
      <c r="J361">
        <v>4</v>
      </c>
      <c r="K361">
        <v>16000</v>
      </c>
    </row>
    <row r="362" spans="1:11" x14ac:dyDescent="0.3">
      <c r="A362" t="s">
        <v>754</v>
      </c>
      <c r="B362" t="s">
        <v>666</v>
      </c>
      <c r="C362" t="s">
        <v>896</v>
      </c>
      <c r="D362" t="s">
        <v>33</v>
      </c>
      <c r="E362" s="1">
        <v>46047</v>
      </c>
      <c r="F362" s="1">
        <v>46127</v>
      </c>
      <c r="G362" s="1"/>
      <c r="H362">
        <v>6200</v>
      </c>
      <c r="I362" t="s">
        <v>12</v>
      </c>
      <c r="J362">
        <v>1</v>
      </c>
      <c r="K362">
        <v>6200</v>
      </c>
    </row>
    <row r="363" spans="1:11" x14ac:dyDescent="0.3">
      <c r="A363" t="s">
        <v>756</v>
      </c>
      <c r="B363" t="s">
        <v>4201</v>
      </c>
      <c r="C363" t="s">
        <v>36</v>
      </c>
      <c r="D363" t="s">
        <v>33</v>
      </c>
      <c r="E363" s="1">
        <v>46110</v>
      </c>
      <c r="F363" s="1">
        <v>46168</v>
      </c>
      <c r="G363" s="1"/>
      <c r="H363">
        <v>7000</v>
      </c>
      <c r="I363" t="s">
        <v>12</v>
      </c>
      <c r="J363">
        <v>2</v>
      </c>
      <c r="K363">
        <v>14000</v>
      </c>
    </row>
    <row r="364" spans="1:11" x14ac:dyDescent="0.3">
      <c r="A364" t="s">
        <v>758</v>
      </c>
      <c r="B364" t="s">
        <v>1945</v>
      </c>
      <c r="C364" t="s">
        <v>162</v>
      </c>
      <c r="D364" t="s">
        <v>33</v>
      </c>
      <c r="E364" s="1">
        <v>46032</v>
      </c>
      <c r="F364" s="1">
        <v>46111</v>
      </c>
      <c r="G364" s="1"/>
      <c r="H364">
        <v>8300</v>
      </c>
      <c r="I364" t="s">
        <v>12</v>
      </c>
      <c r="J364">
        <v>7</v>
      </c>
      <c r="K364">
        <v>58100</v>
      </c>
    </row>
    <row r="365" spans="1:11" x14ac:dyDescent="0.3">
      <c r="A365" t="s">
        <v>760</v>
      </c>
      <c r="B365" t="s">
        <v>3867</v>
      </c>
      <c r="C365" t="s">
        <v>106</v>
      </c>
      <c r="D365" t="s">
        <v>11</v>
      </c>
      <c r="E365" s="1">
        <v>46093</v>
      </c>
      <c r="F365" s="1">
        <v>46109</v>
      </c>
      <c r="G365" s="1"/>
      <c r="H365">
        <v>4300</v>
      </c>
      <c r="I365" t="s">
        <v>12</v>
      </c>
      <c r="J365">
        <v>4</v>
      </c>
      <c r="K365">
        <v>17200</v>
      </c>
    </row>
    <row r="366" spans="1:11" x14ac:dyDescent="0.3">
      <c r="A366" t="s">
        <v>762</v>
      </c>
      <c r="B366" t="s">
        <v>4170</v>
      </c>
      <c r="C366" t="s">
        <v>165</v>
      </c>
      <c r="D366" t="s">
        <v>19</v>
      </c>
      <c r="E366" s="1">
        <v>46157</v>
      </c>
      <c r="F366" s="1"/>
      <c r="G366" s="1"/>
      <c r="H366">
        <v>5200</v>
      </c>
      <c r="I366" t="s">
        <v>76</v>
      </c>
      <c r="J366">
        <v>0</v>
      </c>
      <c r="K366">
        <v>0</v>
      </c>
    </row>
    <row r="367" spans="1:11" x14ac:dyDescent="0.3">
      <c r="A367" t="s">
        <v>764</v>
      </c>
      <c r="B367" t="s">
        <v>4344</v>
      </c>
      <c r="C367" t="s">
        <v>73</v>
      </c>
      <c r="D367" t="s">
        <v>37</v>
      </c>
      <c r="E367" s="1">
        <v>46037</v>
      </c>
      <c r="F367" s="1">
        <v>46069</v>
      </c>
      <c r="G367" s="1">
        <v>46071</v>
      </c>
      <c r="H367">
        <v>7800</v>
      </c>
      <c r="I367" t="s">
        <v>38</v>
      </c>
      <c r="J367">
        <v>2</v>
      </c>
      <c r="K367">
        <v>15600</v>
      </c>
    </row>
    <row r="368" spans="1:11" x14ac:dyDescent="0.3">
      <c r="A368" t="s">
        <v>766</v>
      </c>
      <c r="B368" t="s">
        <v>395</v>
      </c>
      <c r="C368" t="s">
        <v>64</v>
      </c>
      <c r="D368" t="s">
        <v>237</v>
      </c>
      <c r="E368" s="1">
        <v>46116</v>
      </c>
      <c r="F368" s="1">
        <v>46163</v>
      </c>
      <c r="G368" s="1">
        <v>46164</v>
      </c>
      <c r="H368">
        <v>4700</v>
      </c>
      <c r="I368" t="s">
        <v>38</v>
      </c>
      <c r="J368">
        <v>1</v>
      </c>
      <c r="K368">
        <v>4700</v>
      </c>
    </row>
    <row r="369" spans="1:11" x14ac:dyDescent="0.3">
      <c r="A369" t="s">
        <v>768</v>
      </c>
      <c r="B369" t="s">
        <v>1134</v>
      </c>
      <c r="C369" t="s">
        <v>61</v>
      </c>
      <c r="D369" t="s">
        <v>33</v>
      </c>
      <c r="E369" s="1">
        <v>46060</v>
      </c>
      <c r="F369" s="1">
        <v>46077</v>
      </c>
      <c r="G369" s="1"/>
      <c r="H369">
        <v>3500</v>
      </c>
      <c r="I369" t="s">
        <v>12</v>
      </c>
      <c r="J369">
        <v>1</v>
      </c>
      <c r="K369">
        <v>3500</v>
      </c>
    </row>
    <row r="370" spans="1:11" x14ac:dyDescent="0.3">
      <c r="A370" t="s">
        <v>770</v>
      </c>
      <c r="B370" t="s">
        <v>3322</v>
      </c>
      <c r="C370" t="s">
        <v>106</v>
      </c>
      <c r="D370" t="s">
        <v>48</v>
      </c>
      <c r="E370" s="1">
        <v>46047</v>
      </c>
      <c r="F370" s="1">
        <v>46094</v>
      </c>
      <c r="G370" s="1">
        <v>46097</v>
      </c>
      <c r="H370">
        <v>4300</v>
      </c>
      <c r="I370" t="s">
        <v>38</v>
      </c>
      <c r="J370">
        <v>3</v>
      </c>
      <c r="K370">
        <v>12900</v>
      </c>
    </row>
    <row r="371" spans="1:11" x14ac:dyDescent="0.3">
      <c r="A371" t="s">
        <v>772</v>
      </c>
      <c r="B371" t="s">
        <v>662</v>
      </c>
      <c r="C371" t="s">
        <v>317</v>
      </c>
      <c r="D371" t="s">
        <v>33</v>
      </c>
      <c r="E371" s="1">
        <v>46073</v>
      </c>
      <c r="F371" s="1"/>
      <c r="G371" s="1"/>
      <c r="H371">
        <v>3500</v>
      </c>
      <c r="I371" t="s">
        <v>76</v>
      </c>
      <c r="J371">
        <v>0</v>
      </c>
      <c r="K371">
        <v>0</v>
      </c>
    </row>
    <row r="372" spans="1:11" x14ac:dyDescent="0.3">
      <c r="A372" t="s">
        <v>774</v>
      </c>
      <c r="B372" t="s">
        <v>2372</v>
      </c>
      <c r="C372" t="s">
        <v>29</v>
      </c>
      <c r="D372" t="s">
        <v>33</v>
      </c>
      <c r="E372" s="1">
        <v>46035</v>
      </c>
      <c r="F372" s="1">
        <v>46053</v>
      </c>
      <c r="G372" s="1"/>
      <c r="H372">
        <v>5000</v>
      </c>
      <c r="I372" t="s">
        <v>12</v>
      </c>
      <c r="J372">
        <v>3</v>
      </c>
      <c r="K372">
        <v>15000</v>
      </c>
    </row>
    <row r="373" spans="1:11" x14ac:dyDescent="0.3">
      <c r="A373" t="s">
        <v>776</v>
      </c>
      <c r="B373" t="s">
        <v>2751</v>
      </c>
      <c r="C373" t="s">
        <v>343</v>
      </c>
      <c r="D373" t="s">
        <v>223</v>
      </c>
      <c r="E373" s="1">
        <v>46200</v>
      </c>
      <c r="F373" s="1">
        <v>46227</v>
      </c>
      <c r="G373" s="1">
        <v>46228</v>
      </c>
      <c r="H373">
        <v>7000</v>
      </c>
      <c r="I373" t="s">
        <v>38</v>
      </c>
      <c r="J373">
        <v>1</v>
      </c>
      <c r="K373">
        <v>7000</v>
      </c>
    </row>
    <row r="374" spans="1:11" x14ac:dyDescent="0.3">
      <c r="A374" t="s">
        <v>6067</v>
      </c>
      <c r="B374" t="s">
        <v>626</v>
      </c>
      <c r="C374" t="s">
        <v>326</v>
      </c>
      <c r="D374" t="s">
        <v>42</v>
      </c>
      <c r="E374" s="1">
        <v>46159</v>
      </c>
      <c r="F374" s="1">
        <v>46199</v>
      </c>
      <c r="G374" s="1">
        <v>46203</v>
      </c>
      <c r="H374">
        <v>4000</v>
      </c>
      <c r="I374" t="s">
        <v>38</v>
      </c>
      <c r="J374">
        <v>4</v>
      </c>
      <c r="K374">
        <v>16000</v>
      </c>
    </row>
    <row r="375" spans="1:11" x14ac:dyDescent="0.3">
      <c r="A375" t="s">
        <v>778</v>
      </c>
      <c r="B375" t="s">
        <v>2440</v>
      </c>
      <c r="C375" t="s">
        <v>211</v>
      </c>
      <c r="D375" t="s">
        <v>19</v>
      </c>
      <c r="E375" s="1">
        <v>46042</v>
      </c>
      <c r="F375" s="1">
        <v>46100</v>
      </c>
      <c r="G375" s="1"/>
      <c r="H375">
        <v>7200</v>
      </c>
      <c r="I375" t="s">
        <v>12</v>
      </c>
      <c r="J375">
        <v>2</v>
      </c>
      <c r="K375">
        <v>14400</v>
      </c>
    </row>
    <row r="376" spans="1:11" x14ac:dyDescent="0.3">
      <c r="A376" t="s">
        <v>6068</v>
      </c>
      <c r="B376" t="s">
        <v>3177</v>
      </c>
      <c r="C376" t="s">
        <v>109</v>
      </c>
      <c r="D376" t="s">
        <v>19</v>
      </c>
      <c r="E376" s="1">
        <v>46064</v>
      </c>
      <c r="F376" s="1">
        <v>46074</v>
      </c>
      <c r="G376" s="1"/>
      <c r="H376">
        <v>7200</v>
      </c>
      <c r="I376" t="s">
        <v>12</v>
      </c>
      <c r="J376">
        <v>6</v>
      </c>
      <c r="K376">
        <v>43200</v>
      </c>
    </row>
    <row r="377" spans="1:11" x14ac:dyDescent="0.3">
      <c r="A377" t="s">
        <v>780</v>
      </c>
      <c r="B377" t="s">
        <v>75</v>
      </c>
      <c r="C377" t="s">
        <v>138</v>
      </c>
      <c r="D377" t="s">
        <v>42</v>
      </c>
      <c r="E377" s="1">
        <v>46113</v>
      </c>
      <c r="F377" s="1">
        <v>46147</v>
      </c>
      <c r="G377" s="1">
        <v>46150</v>
      </c>
      <c r="H377">
        <v>7500</v>
      </c>
      <c r="I377" t="s">
        <v>38</v>
      </c>
      <c r="J377">
        <v>3</v>
      </c>
      <c r="K377">
        <v>22500</v>
      </c>
    </row>
    <row r="378" spans="1:11" x14ac:dyDescent="0.3">
      <c r="A378" t="s">
        <v>782</v>
      </c>
      <c r="B378" t="s">
        <v>4045</v>
      </c>
      <c r="C378" t="s">
        <v>276</v>
      </c>
      <c r="D378" t="s">
        <v>223</v>
      </c>
      <c r="E378" s="1">
        <v>46142</v>
      </c>
      <c r="F378" s="1">
        <v>46142</v>
      </c>
      <c r="G378" s="1"/>
      <c r="H378">
        <v>5000</v>
      </c>
      <c r="I378" t="s">
        <v>49</v>
      </c>
      <c r="J378">
        <v>6</v>
      </c>
      <c r="K378">
        <v>30000</v>
      </c>
    </row>
    <row r="379" spans="1:11" x14ac:dyDescent="0.3">
      <c r="A379" t="s">
        <v>784</v>
      </c>
      <c r="B379" t="s">
        <v>1010</v>
      </c>
      <c r="C379" t="s">
        <v>165</v>
      </c>
      <c r="D379" t="s">
        <v>11</v>
      </c>
      <c r="E379" s="1">
        <v>46062</v>
      </c>
      <c r="F379" s="1">
        <v>46091</v>
      </c>
      <c r="G379" s="1"/>
      <c r="H379">
        <v>5200</v>
      </c>
      <c r="I379" t="s">
        <v>12</v>
      </c>
      <c r="J379">
        <v>4</v>
      </c>
      <c r="K379">
        <v>20800</v>
      </c>
    </row>
    <row r="380" spans="1:11" x14ac:dyDescent="0.3">
      <c r="A380" t="s">
        <v>786</v>
      </c>
      <c r="B380" t="s">
        <v>815</v>
      </c>
      <c r="C380" t="s">
        <v>211</v>
      </c>
      <c r="D380" t="s">
        <v>26</v>
      </c>
      <c r="E380" s="1">
        <v>46082</v>
      </c>
      <c r="F380" s="1">
        <v>46140</v>
      </c>
      <c r="G380" s="1"/>
      <c r="H380">
        <v>7200</v>
      </c>
      <c r="I380" t="s">
        <v>12</v>
      </c>
      <c r="J380">
        <v>1</v>
      </c>
      <c r="K380">
        <v>7200</v>
      </c>
    </row>
    <row r="381" spans="1:11" x14ac:dyDescent="0.3">
      <c r="A381" t="s">
        <v>788</v>
      </c>
      <c r="B381" t="s">
        <v>378</v>
      </c>
      <c r="C381" t="s">
        <v>499</v>
      </c>
      <c r="D381" t="s">
        <v>33</v>
      </c>
      <c r="E381" s="1">
        <v>46099</v>
      </c>
      <c r="F381" s="1">
        <v>46115</v>
      </c>
      <c r="G381" s="1"/>
      <c r="H381">
        <v>7700</v>
      </c>
      <c r="I381" t="s">
        <v>12</v>
      </c>
      <c r="J381">
        <v>6</v>
      </c>
      <c r="K381">
        <v>46200</v>
      </c>
    </row>
    <row r="382" spans="1:11" x14ac:dyDescent="0.3">
      <c r="A382" t="s">
        <v>790</v>
      </c>
      <c r="B382" t="s">
        <v>620</v>
      </c>
      <c r="C382" t="s">
        <v>92</v>
      </c>
      <c r="D382" t="s">
        <v>95</v>
      </c>
      <c r="E382" s="1">
        <v>46026</v>
      </c>
      <c r="F382" s="1">
        <v>46078</v>
      </c>
      <c r="G382" s="1">
        <v>46079</v>
      </c>
      <c r="H382">
        <v>4200</v>
      </c>
      <c r="I382" t="s">
        <v>38</v>
      </c>
      <c r="J382">
        <v>1</v>
      </c>
      <c r="K382">
        <v>4200</v>
      </c>
    </row>
    <row r="383" spans="1:11" x14ac:dyDescent="0.3">
      <c r="A383" t="s">
        <v>792</v>
      </c>
      <c r="B383" t="s">
        <v>2651</v>
      </c>
      <c r="C383" t="s">
        <v>73</v>
      </c>
      <c r="D383" t="s">
        <v>26</v>
      </c>
      <c r="E383" s="1">
        <v>46111</v>
      </c>
      <c r="F383" s="1">
        <v>46175</v>
      </c>
      <c r="G383" s="1"/>
      <c r="H383">
        <v>7800</v>
      </c>
      <c r="I383" t="s">
        <v>12</v>
      </c>
      <c r="J383">
        <v>5</v>
      </c>
      <c r="K383">
        <v>39000</v>
      </c>
    </row>
    <row r="384" spans="1:11" x14ac:dyDescent="0.3">
      <c r="A384" t="s">
        <v>794</v>
      </c>
      <c r="B384" t="s">
        <v>402</v>
      </c>
      <c r="C384" t="s">
        <v>103</v>
      </c>
      <c r="D384" t="s">
        <v>33</v>
      </c>
      <c r="E384" s="1">
        <v>46175</v>
      </c>
      <c r="F384" s="1"/>
      <c r="G384" s="1"/>
      <c r="H384">
        <v>7000</v>
      </c>
      <c r="I384" t="s">
        <v>76</v>
      </c>
      <c r="J384">
        <v>0</v>
      </c>
      <c r="K384">
        <v>0</v>
      </c>
    </row>
    <row r="385" spans="1:11" x14ac:dyDescent="0.3">
      <c r="A385" t="s">
        <v>6069</v>
      </c>
      <c r="B385" t="s">
        <v>2649</v>
      </c>
      <c r="C385" t="s">
        <v>162</v>
      </c>
      <c r="D385" t="s">
        <v>33</v>
      </c>
      <c r="E385" s="1">
        <v>46094</v>
      </c>
      <c r="F385" s="1">
        <v>46131</v>
      </c>
      <c r="G385" s="1"/>
      <c r="H385">
        <v>8300</v>
      </c>
      <c r="I385" t="s">
        <v>12</v>
      </c>
      <c r="J385">
        <v>2</v>
      </c>
      <c r="K385">
        <v>16600</v>
      </c>
    </row>
    <row r="386" spans="1:11" x14ac:dyDescent="0.3">
      <c r="A386" t="s">
        <v>796</v>
      </c>
      <c r="B386" t="s">
        <v>3242</v>
      </c>
      <c r="C386" t="s">
        <v>270</v>
      </c>
      <c r="D386" t="s">
        <v>33</v>
      </c>
      <c r="E386" s="1">
        <v>46191</v>
      </c>
      <c r="F386" s="1">
        <v>46268</v>
      </c>
      <c r="G386" s="1"/>
      <c r="H386">
        <v>4000</v>
      </c>
      <c r="I386" t="s">
        <v>12</v>
      </c>
      <c r="J386">
        <v>3</v>
      </c>
      <c r="K386">
        <v>12000</v>
      </c>
    </row>
    <row r="387" spans="1:11" x14ac:dyDescent="0.3">
      <c r="A387" t="s">
        <v>798</v>
      </c>
      <c r="B387" t="s">
        <v>1112</v>
      </c>
      <c r="C387" t="s">
        <v>162</v>
      </c>
      <c r="D387" t="s">
        <v>42</v>
      </c>
      <c r="E387" s="1">
        <v>46167</v>
      </c>
      <c r="F387" s="1">
        <v>46172</v>
      </c>
      <c r="G387" s="1">
        <v>46177</v>
      </c>
      <c r="H387">
        <v>8300</v>
      </c>
      <c r="I387" t="s">
        <v>38</v>
      </c>
      <c r="J387">
        <v>5</v>
      </c>
      <c r="K387">
        <v>41500</v>
      </c>
    </row>
    <row r="388" spans="1:11" x14ac:dyDescent="0.3">
      <c r="A388" t="s">
        <v>6070</v>
      </c>
      <c r="B388" t="s">
        <v>688</v>
      </c>
      <c r="C388" t="s">
        <v>245</v>
      </c>
      <c r="D388" t="s">
        <v>19</v>
      </c>
      <c r="E388" s="1">
        <v>46032</v>
      </c>
      <c r="F388" s="1">
        <v>46086</v>
      </c>
      <c r="G388" s="1"/>
      <c r="H388">
        <v>8300</v>
      </c>
      <c r="I388" t="s">
        <v>12</v>
      </c>
      <c r="J388">
        <v>3</v>
      </c>
      <c r="K388">
        <v>24900</v>
      </c>
    </row>
    <row r="389" spans="1:11" x14ac:dyDescent="0.3">
      <c r="A389" t="s">
        <v>800</v>
      </c>
      <c r="B389" t="s">
        <v>472</v>
      </c>
      <c r="C389" t="s">
        <v>245</v>
      </c>
      <c r="D389" t="s">
        <v>11</v>
      </c>
      <c r="E389" s="1">
        <v>46194</v>
      </c>
      <c r="F389" s="1">
        <v>46229</v>
      </c>
      <c r="G389" s="1"/>
      <c r="H389">
        <v>8300</v>
      </c>
      <c r="I389" t="s">
        <v>12</v>
      </c>
      <c r="J389">
        <v>3</v>
      </c>
      <c r="K389">
        <v>24900</v>
      </c>
    </row>
    <row r="390" spans="1:11" x14ac:dyDescent="0.3">
      <c r="A390" t="s">
        <v>802</v>
      </c>
      <c r="B390" t="s">
        <v>1244</v>
      </c>
      <c r="C390" t="s">
        <v>488</v>
      </c>
      <c r="D390" t="s">
        <v>95</v>
      </c>
      <c r="E390" s="1">
        <v>46165</v>
      </c>
      <c r="F390" s="1">
        <v>46194</v>
      </c>
      <c r="G390" s="1">
        <v>46201</v>
      </c>
      <c r="H390">
        <v>4500</v>
      </c>
      <c r="I390" t="s">
        <v>38</v>
      </c>
      <c r="J390">
        <v>7</v>
      </c>
      <c r="K390">
        <v>31500</v>
      </c>
    </row>
    <row r="391" spans="1:11" x14ac:dyDescent="0.3">
      <c r="A391" t="s">
        <v>6071</v>
      </c>
      <c r="B391" t="s">
        <v>1700</v>
      </c>
      <c r="C391" t="s">
        <v>32</v>
      </c>
      <c r="D391" t="s">
        <v>19</v>
      </c>
      <c r="E391" s="1">
        <v>46090</v>
      </c>
      <c r="F391" s="1"/>
      <c r="G391" s="1"/>
      <c r="H391">
        <v>7000</v>
      </c>
      <c r="I391" t="s">
        <v>76</v>
      </c>
      <c r="J391">
        <v>0</v>
      </c>
      <c r="K391">
        <v>0</v>
      </c>
    </row>
    <row r="392" spans="1:11" x14ac:dyDescent="0.3">
      <c r="A392" t="s">
        <v>804</v>
      </c>
      <c r="B392" t="s">
        <v>974</v>
      </c>
      <c r="C392" t="s">
        <v>119</v>
      </c>
      <c r="D392" t="s">
        <v>26</v>
      </c>
      <c r="E392" s="1">
        <v>46146</v>
      </c>
      <c r="F392" s="1">
        <v>46179</v>
      </c>
      <c r="G392" s="1"/>
      <c r="H392">
        <v>4700</v>
      </c>
      <c r="I392" t="s">
        <v>12</v>
      </c>
      <c r="J392">
        <v>1</v>
      </c>
      <c r="K392">
        <v>4700</v>
      </c>
    </row>
    <row r="393" spans="1:11" x14ac:dyDescent="0.3">
      <c r="A393" t="s">
        <v>806</v>
      </c>
      <c r="B393" t="s">
        <v>1416</v>
      </c>
      <c r="C393" t="s">
        <v>18</v>
      </c>
      <c r="D393" t="s">
        <v>33</v>
      </c>
      <c r="E393" s="1">
        <v>46088</v>
      </c>
      <c r="F393" s="1">
        <v>46150</v>
      </c>
      <c r="G393" s="1"/>
      <c r="H393">
        <v>6900</v>
      </c>
      <c r="I393" t="s">
        <v>12</v>
      </c>
      <c r="J393">
        <v>1</v>
      </c>
      <c r="K393">
        <v>6900</v>
      </c>
    </row>
    <row r="394" spans="1:11" x14ac:dyDescent="0.3">
      <c r="A394" t="s">
        <v>6072</v>
      </c>
      <c r="B394" t="s">
        <v>4097</v>
      </c>
      <c r="C394" t="s">
        <v>146</v>
      </c>
      <c r="D394" t="s">
        <v>11</v>
      </c>
      <c r="E394" s="1">
        <v>46100</v>
      </c>
      <c r="F394" s="1">
        <v>46165</v>
      </c>
      <c r="G394" s="1"/>
      <c r="H394">
        <v>4700</v>
      </c>
      <c r="I394" t="s">
        <v>12</v>
      </c>
      <c r="J394">
        <v>6</v>
      </c>
      <c r="K394">
        <v>28200</v>
      </c>
    </row>
    <row r="395" spans="1:11" x14ac:dyDescent="0.3">
      <c r="A395" t="s">
        <v>808</v>
      </c>
      <c r="B395" t="s">
        <v>3707</v>
      </c>
      <c r="C395" t="s">
        <v>477</v>
      </c>
      <c r="D395" t="s">
        <v>223</v>
      </c>
      <c r="E395" s="1">
        <v>46057</v>
      </c>
      <c r="F395" s="1">
        <v>46105</v>
      </c>
      <c r="G395" s="1">
        <v>46109</v>
      </c>
      <c r="H395">
        <v>8000</v>
      </c>
      <c r="I395" t="s">
        <v>38</v>
      </c>
      <c r="J395">
        <v>4</v>
      </c>
      <c r="K395">
        <v>32000</v>
      </c>
    </row>
    <row r="396" spans="1:11" x14ac:dyDescent="0.3">
      <c r="A396" t="s">
        <v>810</v>
      </c>
      <c r="B396" t="s">
        <v>4270</v>
      </c>
      <c r="C396" t="s">
        <v>594</v>
      </c>
      <c r="D396" t="s">
        <v>26</v>
      </c>
      <c r="E396" s="1">
        <v>46086</v>
      </c>
      <c r="F396" s="1">
        <v>46121</v>
      </c>
      <c r="G396" s="1"/>
      <c r="H396">
        <v>6500</v>
      </c>
      <c r="I396" t="s">
        <v>12</v>
      </c>
      <c r="J396">
        <v>6</v>
      </c>
      <c r="K396">
        <v>39000</v>
      </c>
    </row>
    <row r="397" spans="1:11" x14ac:dyDescent="0.3">
      <c r="A397" t="s">
        <v>812</v>
      </c>
      <c r="B397" t="s">
        <v>249</v>
      </c>
      <c r="C397" t="s">
        <v>326</v>
      </c>
      <c r="D397" t="s">
        <v>11</v>
      </c>
      <c r="E397" s="1">
        <v>46179</v>
      </c>
      <c r="F397" s="1">
        <v>46266</v>
      </c>
      <c r="G397" s="1"/>
      <c r="H397">
        <v>4000</v>
      </c>
      <c r="I397" t="s">
        <v>12</v>
      </c>
      <c r="J397">
        <v>6</v>
      </c>
      <c r="K397">
        <v>24000</v>
      </c>
    </row>
    <row r="398" spans="1:11" x14ac:dyDescent="0.3">
      <c r="A398" t="s">
        <v>814</v>
      </c>
      <c r="B398" t="s">
        <v>2774</v>
      </c>
      <c r="C398" t="s">
        <v>276</v>
      </c>
      <c r="D398" t="s">
        <v>48</v>
      </c>
      <c r="E398" s="1">
        <v>46068</v>
      </c>
      <c r="F398" s="1">
        <v>46111</v>
      </c>
      <c r="G398" s="1">
        <v>46116</v>
      </c>
      <c r="H398">
        <v>5000</v>
      </c>
      <c r="I398" t="s">
        <v>38</v>
      </c>
      <c r="J398">
        <v>5</v>
      </c>
      <c r="K398">
        <v>25000</v>
      </c>
    </row>
    <row r="399" spans="1:11" x14ac:dyDescent="0.3">
      <c r="A399" t="s">
        <v>816</v>
      </c>
      <c r="B399" t="s">
        <v>809</v>
      </c>
      <c r="C399" t="s">
        <v>54</v>
      </c>
      <c r="D399" t="s">
        <v>33</v>
      </c>
      <c r="E399" s="1">
        <v>46111</v>
      </c>
      <c r="F399" s="1"/>
      <c r="G399" s="1"/>
      <c r="H399">
        <v>7500</v>
      </c>
      <c r="I399" t="s">
        <v>76</v>
      </c>
      <c r="J399">
        <v>0</v>
      </c>
      <c r="K399">
        <v>0</v>
      </c>
    </row>
    <row r="400" spans="1:11" x14ac:dyDescent="0.3">
      <c r="A400" t="s">
        <v>818</v>
      </c>
      <c r="B400" t="s">
        <v>3090</v>
      </c>
      <c r="C400" t="s">
        <v>22</v>
      </c>
      <c r="D400" t="s">
        <v>26</v>
      </c>
      <c r="E400" s="1">
        <v>46178</v>
      </c>
      <c r="F400" s="1">
        <v>46212</v>
      </c>
      <c r="G400" s="1"/>
      <c r="H400">
        <v>7000</v>
      </c>
      <c r="I400" t="s">
        <v>12</v>
      </c>
      <c r="J400">
        <v>6</v>
      </c>
      <c r="K400">
        <v>42000</v>
      </c>
    </row>
    <row r="401" spans="1:11" x14ac:dyDescent="0.3">
      <c r="A401" t="s">
        <v>820</v>
      </c>
      <c r="B401" t="s">
        <v>4249</v>
      </c>
      <c r="C401" t="s">
        <v>407</v>
      </c>
      <c r="D401" t="s">
        <v>42</v>
      </c>
      <c r="E401" s="1">
        <v>46099</v>
      </c>
      <c r="F401" s="1">
        <v>46106</v>
      </c>
      <c r="G401" s="1">
        <v>46113</v>
      </c>
      <c r="H401">
        <v>8000</v>
      </c>
      <c r="I401" t="s">
        <v>38</v>
      </c>
      <c r="J401">
        <v>7</v>
      </c>
      <c r="K401">
        <v>56000</v>
      </c>
    </row>
    <row r="402" spans="1:11" x14ac:dyDescent="0.3">
      <c r="A402" t="s">
        <v>822</v>
      </c>
      <c r="B402" t="s">
        <v>472</v>
      </c>
      <c r="C402" t="s">
        <v>252</v>
      </c>
      <c r="D402" t="s">
        <v>11</v>
      </c>
      <c r="E402" s="1">
        <v>46055</v>
      </c>
      <c r="F402" s="1">
        <v>46118</v>
      </c>
      <c r="G402" s="1"/>
      <c r="H402">
        <v>7800</v>
      </c>
      <c r="I402" t="s">
        <v>12</v>
      </c>
      <c r="J402">
        <v>4</v>
      </c>
      <c r="K402">
        <v>31200</v>
      </c>
    </row>
    <row r="403" spans="1:11" x14ac:dyDescent="0.3">
      <c r="A403" t="s">
        <v>824</v>
      </c>
      <c r="B403" t="s">
        <v>2415</v>
      </c>
      <c r="C403" t="s">
        <v>67</v>
      </c>
      <c r="D403" t="s">
        <v>19</v>
      </c>
      <c r="E403" s="1">
        <v>46091</v>
      </c>
      <c r="F403" s="1">
        <v>46132</v>
      </c>
      <c r="G403" s="1"/>
      <c r="H403">
        <v>9000</v>
      </c>
      <c r="I403" t="s">
        <v>12</v>
      </c>
      <c r="J403">
        <v>7</v>
      </c>
      <c r="K403">
        <v>63000</v>
      </c>
    </row>
    <row r="404" spans="1:11" x14ac:dyDescent="0.3">
      <c r="A404" t="s">
        <v>826</v>
      </c>
      <c r="B404" t="s">
        <v>771</v>
      </c>
      <c r="C404" t="s">
        <v>446</v>
      </c>
      <c r="D404" t="s">
        <v>58</v>
      </c>
      <c r="E404" s="1">
        <v>46049</v>
      </c>
      <c r="F404" s="1">
        <v>46061</v>
      </c>
      <c r="G404" s="1">
        <v>46066</v>
      </c>
      <c r="H404">
        <v>8800</v>
      </c>
      <c r="I404" t="s">
        <v>38</v>
      </c>
      <c r="J404">
        <v>5</v>
      </c>
      <c r="K404">
        <v>44000</v>
      </c>
    </row>
    <row r="405" spans="1:11" x14ac:dyDescent="0.3">
      <c r="A405" t="s">
        <v>828</v>
      </c>
      <c r="B405" t="s">
        <v>151</v>
      </c>
      <c r="C405" t="s">
        <v>103</v>
      </c>
      <c r="D405" t="s">
        <v>37</v>
      </c>
      <c r="E405" s="1">
        <v>46112</v>
      </c>
      <c r="F405" s="1">
        <v>46114</v>
      </c>
      <c r="G405" s="1"/>
      <c r="H405">
        <v>7000</v>
      </c>
      <c r="I405" t="s">
        <v>49</v>
      </c>
      <c r="J405">
        <v>2</v>
      </c>
      <c r="K405">
        <v>14000</v>
      </c>
    </row>
    <row r="406" spans="1:11" x14ac:dyDescent="0.3">
      <c r="A406" t="s">
        <v>830</v>
      </c>
      <c r="B406" t="s">
        <v>3921</v>
      </c>
      <c r="C406" t="s">
        <v>240</v>
      </c>
      <c r="D406" t="s">
        <v>11</v>
      </c>
      <c r="E406" s="1">
        <v>46135</v>
      </c>
      <c r="F406" s="1">
        <v>46152</v>
      </c>
      <c r="G406" s="1"/>
      <c r="H406">
        <v>5400</v>
      </c>
      <c r="I406" t="s">
        <v>12</v>
      </c>
      <c r="J406">
        <v>7</v>
      </c>
      <c r="K406">
        <v>37800</v>
      </c>
    </row>
    <row r="407" spans="1:11" x14ac:dyDescent="0.3">
      <c r="A407" t="s">
        <v>832</v>
      </c>
      <c r="B407" t="s">
        <v>3381</v>
      </c>
      <c r="C407" t="s">
        <v>182</v>
      </c>
      <c r="D407" t="s">
        <v>19</v>
      </c>
      <c r="E407" s="1">
        <v>46092</v>
      </c>
      <c r="F407" s="1">
        <v>46123</v>
      </c>
      <c r="G407" s="1"/>
      <c r="H407">
        <v>7000</v>
      </c>
      <c r="I407" t="s">
        <v>12</v>
      </c>
      <c r="J407">
        <v>3</v>
      </c>
      <c r="K407">
        <v>21000</v>
      </c>
    </row>
    <row r="408" spans="1:11" x14ac:dyDescent="0.3">
      <c r="A408" t="s">
        <v>834</v>
      </c>
      <c r="B408" t="s">
        <v>2415</v>
      </c>
      <c r="C408" t="s">
        <v>73</v>
      </c>
      <c r="D408" t="s">
        <v>33</v>
      </c>
      <c r="E408" s="1">
        <v>46034</v>
      </c>
      <c r="F408" s="1">
        <v>46109</v>
      </c>
      <c r="G408" s="1"/>
      <c r="H408">
        <v>7800</v>
      </c>
      <c r="I408" t="s">
        <v>12</v>
      </c>
      <c r="J408">
        <v>1</v>
      </c>
      <c r="K408">
        <v>7800</v>
      </c>
    </row>
    <row r="409" spans="1:11" x14ac:dyDescent="0.3">
      <c r="A409" t="s">
        <v>836</v>
      </c>
      <c r="B409" t="s">
        <v>4038</v>
      </c>
      <c r="C409" t="s">
        <v>193</v>
      </c>
      <c r="D409" t="s">
        <v>223</v>
      </c>
      <c r="E409" s="1">
        <v>46182</v>
      </c>
      <c r="F409" s="1">
        <v>46182</v>
      </c>
      <c r="G409" s="1"/>
      <c r="H409">
        <v>6500</v>
      </c>
      <c r="I409" t="s">
        <v>49</v>
      </c>
      <c r="J409">
        <v>1</v>
      </c>
      <c r="K409">
        <v>6500</v>
      </c>
    </row>
    <row r="410" spans="1:11" x14ac:dyDescent="0.3">
      <c r="A410" t="s">
        <v>6073</v>
      </c>
      <c r="B410" t="s">
        <v>2848</v>
      </c>
      <c r="C410" t="s">
        <v>57</v>
      </c>
      <c r="D410" t="s">
        <v>26</v>
      </c>
      <c r="E410" s="1">
        <v>46038</v>
      </c>
      <c r="F410" s="1">
        <v>46100</v>
      </c>
      <c r="G410" s="1"/>
      <c r="H410">
        <v>7700</v>
      </c>
      <c r="I410" t="s">
        <v>12</v>
      </c>
      <c r="J410">
        <v>2</v>
      </c>
      <c r="K410">
        <v>15400</v>
      </c>
    </row>
    <row r="411" spans="1:11" x14ac:dyDescent="0.3">
      <c r="A411" t="s">
        <v>6074</v>
      </c>
      <c r="B411" t="s">
        <v>1262</v>
      </c>
      <c r="C411" t="s">
        <v>162</v>
      </c>
      <c r="D411" t="s">
        <v>11</v>
      </c>
      <c r="E411" s="1">
        <v>46127</v>
      </c>
      <c r="F411" s="1">
        <v>46162</v>
      </c>
      <c r="G411" s="1"/>
      <c r="H411">
        <v>8300</v>
      </c>
      <c r="I411" t="s">
        <v>12</v>
      </c>
      <c r="J411">
        <v>3</v>
      </c>
      <c r="K411">
        <v>24900</v>
      </c>
    </row>
    <row r="412" spans="1:11" x14ac:dyDescent="0.3">
      <c r="A412" t="s">
        <v>838</v>
      </c>
      <c r="B412" t="s">
        <v>340</v>
      </c>
      <c r="C412" t="s">
        <v>133</v>
      </c>
      <c r="D412" t="s">
        <v>11</v>
      </c>
      <c r="E412" s="1">
        <v>46027</v>
      </c>
      <c r="F412" s="1"/>
      <c r="G412" s="1"/>
      <c r="H412">
        <v>7000</v>
      </c>
      <c r="I412" t="s">
        <v>76</v>
      </c>
      <c r="J412">
        <v>0</v>
      </c>
      <c r="K412">
        <v>0</v>
      </c>
    </row>
    <row r="413" spans="1:11" x14ac:dyDescent="0.3">
      <c r="A413" t="s">
        <v>840</v>
      </c>
      <c r="B413" t="s">
        <v>2298</v>
      </c>
      <c r="C413" t="s">
        <v>326</v>
      </c>
      <c r="D413" t="s">
        <v>19</v>
      </c>
      <c r="E413" s="1">
        <v>46046</v>
      </c>
      <c r="F413" s="1">
        <v>46081</v>
      </c>
      <c r="G413" s="1"/>
      <c r="H413">
        <v>4000</v>
      </c>
      <c r="I413" t="s">
        <v>12</v>
      </c>
      <c r="J413">
        <v>2</v>
      </c>
      <c r="K413">
        <v>8000</v>
      </c>
    </row>
    <row r="414" spans="1:11" x14ac:dyDescent="0.3">
      <c r="A414" t="s">
        <v>842</v>
      </c>
      <c r="B414" t="s">
        <v>2455</v>
      </c>
      <c r="C414" t="s">
        <v>10</v>
      </c>
      <c r="D414" t="s">
        <v>19</v>
      </c>
      <c r="E414" s="1">
        <v>46140</v>
      </c>
      <c r="F414" s="1">
        <v>46196</v>
      </c>
      <c r="G414" s="1"/>
      <c r="H414">
        <v>6700</v>
      </c>
      <c r="I414" t="s">
        <v>12</v>
      </c>
      <c r="J414">
        <v>6</v>
      </c>
      <c r="K414">
        <v>40200</v>
      </c>
    </row>
    <row r="415" spans="1:11" x14ac:dyDescent="0.3">
      <c r="A415" t="s">
        <v>844</v>
      </c>
      <c r="B415" t="s">
        <v>3240</v>
      </c>
      <c r="C415" t="s">
        <v>228</v>
      </c>
      <c r="D415" t="s">
        <v>58</v>
      </c>
      <c r="E415" s="1">
        <v>46172</v>
      </c>
      <c r="F415" s="1">
        <v>46172</v>
      </c>
      <c r="G415" s="1"/>
      <c r="H415">
        <v>7200</v>
      </c>
      <c r="I415" t="s">
        <v>49</v>
      </c>
      <c r="J415">
        <v>6</v>
      </c>
      <c r="K415">
        <v>43200</v>
      </c>
    </row>
    <row r="416" spans="1:11" x14ac:dyDescent="0.3">
      <c r="A416" t="s">
        <v>846</v>
      </c>
      <c r="B416" t="s">
        <v>388</v>
      </c>
      <c r="C416" t="s">
        <v>240</v>
      </c>
      <c r="D416" t="s">
        <v>223</v>
      </c>
      <c r="E416" s="1">
        <v>46162</v>
      </c>
      <c r="F416" s="1">
        <v>46171</v>
      </c>
      <c r="G416" s="1">
        <v>46174</v>
      </c>
      <c r="H416">
        <v>5400</v>
      </c>
      <c r="I416" t="s">
        <v>38</v>
      </c>
      <c r="J416">
        <v>3</v>
      </c>
      <c r="K416">
        <v>16200</v>
      </c>
    </row>
    <row r="417" spans="1:11" x14ac:dyDescent="0.3">
      <c r="A417" t="s">
        <v>6075</v>
      </c>
      <c r="B417" t="s">
        <v>4143</v>
      </c>
      <c r="C417" t="s">
        <v>255</v>
      </c>
      <c r="D417" t="s">
        <v>19</v>
      </c>
      <c r="E417" s="1">
        <v>46154</v>
      </c>
      <c r="F417" s="1"/>
      <c r="G417" s="1"/>
      <c r="H417">
        <v>4200</v>
      </c>
      <c r="I417" t="s">
        <v>76</v>
      </c>
      <c r="J417">
        <v>0</v>
      </c>
      <c r="K417">
        <v>0</v>
      </c>
    </row>
    <row r="418" spans="1:11" x14ac:dyDescent="0.3">
      <c r="A418" t="s">
        <v>848</v>
      </c>
      <c r="B418" t="s">
        <v>3093</v>
      </c>
      <c r="C418" t="s">
        <v>185</v>
      </c>
      <c r="D418" t="s">
        <v>37</v>
      </c>
      <c r="E418" s="1">
        <v>46125</v>
      </c>
      <c r="F418" s="1">
        <v>46126</v>
      </c>
      <c r="G418" s="1"/>
      <c r="H418">
        <v>5700</v>
      </c>
      <c r="I418" t="s">
        <v>49</v>
      </c>
      <c r="J418">
        <v>7</v>
      </c>
      <c r="K418">
        <v>39900</v>
      </c>
    </row>
    <row r="419" spans="1:11" x14ac:dyDescent="0.3">
      <c r="A419" t="s">
        <v>6076</v>
      </c>
      <c r="B419" t="s">
        <v>3704</v>
      </c>
      <c r="C419" t="s">
        <v>109</v>
      </c>
      <c r="D419" t="s">
        <v>58</v>
      </c>
      <c r="E419" s="1">
        <v>46074</v>
      </c>
      <c r="F419" s="1">
        <v>46113</v>
      </c>
      <c r="G419" s="1">
        <v>46119</v>
      </c>
      <c r="H419">
        <v>7200</v>
      </c>
      <c r="I419" t="s">
        <v>38</v>
      </c>
      <c r="J419">
        <v>6</v>
      </c>
      <c r="K419">
        <v>43200</v>
      </c>
    </row>
    <row r="420" spans="1:11" x14ac:dyDescent="0.3">
      <c r="A420" t="s">
        <v>6077</v>
      </c>
      <c r="B420" t="s">
        <v>562</v>
      </c>
      <c r="C420" t="s">
        <v>54</v>
      </c>
      <c r="D420" t="s">
        <v>33</v>
      </c>
      <c r="E420" s="1">
        <v>46110</v>
      </c>
      <c r="F420" s="1"/>
      <c r="G420" s="1"/>
      <c r="H420">
        <v>7500</v>
      </c>
      <c r="I420" t="s">
        <v>76</v>
      </c>
      <c r="J420">
        <v>0</v>
      </c>
      <c r="K420">
        <v>0</v>
      </c>
    </row>
    <row r="421" spans="1:11" x14ac:dyDescent="0.3">
      <c r="A421" t="s">
        <v>850</v>
      </c>
      <c r="B421" t="s">
        <v>1864</v>
      </c>
      <c r="C421" t="s">
        <v>711</v>
      </c>
      <c r="D421" t="s">
        <v>58</v>
      </c>
      <c r="E421" s="1">
        <v>46149</v>
      </c>
      <c r="F421" s="1">
        <v>46151</v>
      </c>
      <c r="G421" s="1"/>
      <c r="H421">
        <v>7000</v>
      </c>
      <c r="I421" t="s">
        <v>49</v>
      </c>
      <c r="J421">
        <v>7</v>
      </c>
      <c r="K421">
        <v>49000</v>
      </c>
    </row>
    <row r="422" spans="1:11" x14ac:dyDescent="0.3">
      <c r="A422" t="s">
        <v>852</v>
      </c>
      <c r="B422" t="s">
        <v>3167</v>
      </c>
      <c r="C422" t="s">
        <v>188</v>
      </c>
      <c r="D422" t="s">
        <v>58</v>
      </c>
      <c r="E422" s="1">
        <v>46113</v>
      </c>
      <c r="F422" s="1">
        <v>46146</v>
      </c>
      <c r="G422" s="1">
        <v>46150</v>
      </c>
      <c r="H422">
        <v>6500</v>
      </c>
      <c r="I422" t="s">
        <v>38</v>
      </c>
      <c r="J422">
        <v>4</v>
      </c>
      <c r="K422">
        <v>26000</v>
      </c>
    </row>
    <row r="423" spans="1:11" x14ac:dyDescent="0.3">
      <c r="A423" t="s">
        <v>854</v>
      </c>
      <c r="B423" t="s">
        <v>3200</v>
      </c>
      <c r="C423" t="s">
        <v>138</v>
      </c>
      <c r="D423" t="s">
        <v>223</v>
      </c>
      <c r="E423" s="1">
        <v>46080</v>
      </c>
      <c r="F423" s="1">
        <v>46116</v>
      </c>
      <c r="G423" s="1">
        <v>46119</v>
      </c>
      <c r="H423">
        <v>7500</v>
      </c>
      <c r="I423" t="s">
        <v>38</v>
      </c>
      <c r="J423">
        <v>3</v>
      </c>
      <c r="K423">
        <v>22500</v>
      </c>
    </row>
    <row r="424" spans="1:11" x14ac:dyDescent="0.3">
      <c r="A424" t="s">
        <v>856</v>
      </c>
      <c r="B424" t="s">
        <v>853</v>
      </c>
      <c r="C424" t="s">
        <v>73</v>
      </c>
      <c r="D424" t="s">
        <v>19</v>
      </c>
      <c r="E424" s="1">
        <v>46025</v>
      </c>
      <c r="F424" s="1">
        <v>46059</v>
      </c>
      <c r="G424" s="1"/>
      <c r="H424">
        <v>7800</v>
      </c>
      <c r="I424" t="s">
        <v>12</v>
      </c>
      <c r="J424">
        <v>2</v>
      </c>
      <c r="K424">
        <v>15600</v>
      </c>
    </row>
    <row r="425" spans="1:11" x14ac:dyDescent="0.3">
      <c r="A425" t="s">
        <v>858</v>
      </c>
      <c r="B425" t="s">
        <v>456</v>
      </c>
      <c r="C425" t="s">
        <v>258</v>
      </c>
      <c r="D425" t="s">
        <v>33</v>
      </c>
      <c r="E425" s="1">
        <v>46031</v>
      </c>
      <c r="F425" s="1">
        <v>46073</v>
      </c>
      <c r="G425" s="1"/>
      <c r="H425">
        <v>4700</v>
      </c>
      <c r="I425" t="s">
        <v>12</v>
      </c>
      <c r="J425">
        <v>3</v>
      </c>
      <c r="K425">
        <v>14100</v>
      </c>
    </row>
    <row r="426" spans="1:11" x14ac:dyDescent="0.3">
      <c r="A426" t="s">
        <v>860</v>
      </c>
      <c r="B426" t="s">
        <v>3171</v>
      </c>
      <c r="C426" t="s">
        <v>214</v>
      </c>
      <c r="D426" t="s">
        <v>26</v>
      </c>
      <c r="E426" s="1">
        <v>46192</v>
      </c>
      <c r="F426" s="1">
        <v>46248</v>
      </c>
      <c r="G426" s="1"/>
      <c r="H426">
        <v>4000</v>
      </c>
      <c r="I426" t="s">
        <v>12</v>
      </c>
      <c r="J426">
        <v>6</v>
      </c>
      <c r="K426">
        <v>24000</v>
      </c>
    </row>
    <row r="427" spans="1:11" x14ac:dyDescent="0.3">
      <c r="A427" t="s">
        <v>862</v>
      </c>
      <c r="B427" t="s">
        <v>598</v>
      </c>
      <c r="C427" t="s">
        <v>228</v>
      </c>
      <c r="D427" t="s">
        <v>95</v>
      </c>
      <c r="E427" s="1">
        <v>46054</v>
      </c>
      <c r="F427" s="1">
        <v>46056</v>
      </c>
      <c r="G427" s="1"/>
      <c r="H427">
        <v>7200</v>
      </c>
      <c r="I427" t="s">
        <v>49</v>
      </c>
      <c r="J427">
        <v>3</v>
      </c>
      <c r="K427">
        <v>21600</v>
      </c>
    </row>
    <row r="428" spans="1:11" x14ac:dyDescent="0.3">
      <c r="A428" t="s">
        <v>6078</v>
      </c>
      <c r="B428" t="s">
        <v>3285</v>
      </c>
      <c r="C428" t="s">
        <v>45</v>
      </c>
      <c r="D428" t="s">
        <v>19</v>
      </c>
      <c r="E428" s="1">
        <v>46048</v>
      </c>
      <c r="F428" s="1">
        <v>46059</v>
      </c>
      <c r="G428" s="1"/>
      <c r="H428">
        <v>7700</v>
      </c>
      <c r="I428" t="s">
        <v>12</v>
      </c>
      <c r="J428">
        <v>5</v>
      </c>
      <c r="K428">
        <v>38500</v>
      </c>
    </row>
    <row r="429" spans="1:11" x14ac:dyDescent="0.3">
      <c r="A429" t="s">
        <v>864</v>
      </c>
      <c r="B429" t="s">
        <v>2049</v>
      </c>
      <c r="C429" t="s">
        <v>32</v>
      </c>
      <c r="D429" t="s">
        <v>11</v>
      </c>
      <c r="E429" s="1">
        <v>46074</v>
      </c>
      <c r="F429" s="1">
        <v>46093</v>
      </c>
      <c r="G429" s="1"/>
      <c r="H429">
        <v>7000</v>
      </c>
      <c r="I429" t="s">
        <v>12</v>
      </c>
      <c r="J429">
        <v>3</v>
      </c>
      <c r="K429">
        <v>21000</v>
      </c>
    </row>
    <row r="430" spans="1:11" x14ac:dyDescent="0.3">
      <c r="A430" t="s">
        <v>866</v>
      </c>
      <c r="B430" t="s">
        <v>2828</v>
      </c>
      <c r="C430" t="s">
        <v>45</v>
      </c>
      <c r="D430" t="s">
        <v>33</v>
      </c>
      <c r="E430" s="1">
        <v>46117</v>
      </c>
      <c r="F430" s="1">
        <v>46161</v>
      </c>
      <c r="G430" s="1"/>
      <c r="H430">
        <v>7700</v>
      </c>
      <c r="I430" t="s">
        <v>12</v>
      </c>
      <c r="J430">
        <v>6</v>
      </c>
      <c r="K430">
        <v>46200</v>
      </c>
    </row>
    <row r="431" spans="1:11" x14ac:dyDescent="0.3">
      <c r="A431" t="s">
        <v>868</v>
      </c>
      <c r="B431" t="s">
        <v>3459</v>
      </c>
      <c r="C431" t="s">
        <v>219</v>
      </c>
      <c r="D431" t="s">
        <v>223</v>
      </c>
      <c r="E431" s="1">
        <v>46157</v>
      </c>
      <c r="F431" s="1">
        <v>46158</v>
      </c>
      <c r="G431" s="1"/>
      <c r="H431">
        <v>4700</v>
      </c>
      <c r="I431" t="s">
        <v>49</v>
      </c>
      <c r="J431">
        <v>5</v>
      </c>
      <c r="K431">
        <v>23500</v>
      </c>
    </row>
    <row r="432" spans="1:11" x14ac:dyDescent="0.3">
      <c r="A432" t="s">
        <v>870</v>
      </c>
      <c r="B432" t="s">
        <v>1960</v>
      </c>
      <c r="C432" t="s">
        <v>326</v>
      </c>
      <c r="D432" t="s">
        <v>26</v>
      </c>
      <c r="E432" s="1">
        <v>46191</v>
      </c>
      <c r="F432" s="1">
        <v>46272</v>
      </c>
      <c r="G432" s="1"/>
      <c r="H432">
        <v>4000</v>
      </c>
      <c r="I432" t="s">
        <v>12</v>
      </c>
      <c r="J432">
        <v>1</v>
      </c>
      <c r="K432">
        <v>4000</v>
      </c>
    </row>
    <row r="433" spans="1:11" x14ac:dyDescent="0.3">
      <c r="A433" t="s">
        <v>6079</v>
      </c>
      <c r="B433" t="s">
        <v>3352</v>
      </c>
      <c r="C433" t="s">
        <v>61</v>
      </c>
      <c r="D433" t="s">
        <v>19</v>
      </c>
      <c r="E433" s="1">
        <v>46157</v>
      </c>
      <c r="F433" s="1">
        <v>46219</v>
      </c>
      <c r="G433" s="1"/>
      <c r="H433">
        <v>3500</v>
      </c>
      <c r="I433" t="s">
        <v>12</v>
      </c>
      <c r="J433">
        <v>7</v>
      </c>
      <c r="K433">
        <v>24500</v>
      </c>
    </row>
    <row r="434" spans="1:11" x14ac:dyDescent="0.3">
      <c r="A434" t="s">
        <v>872</v>
      </c>
      <c r="B434" t="s">
        <v>684</v>
      </c>
      <c r="C434" t="s">
        <v>270</v>
      </c>
      <c r="D434" t="s">
        <v>42</v>
      </c>
      <c r="E434" s="1">
        <v>46143</v>
      </c>
      <c r="F434" s="1">
        <v>46189</v>
      </c>
      <c r="G434" s="1">
        <v>46195</v>
      </c>
      <c r="H434">
        <v>4000</v>
      </c>
      <c r="I434" t="s">
        <v>38</v>
      </c>
      <c r="J434">
        <v>6</v>
      </c>
      <c r="K434">
        <v>24000</v>
      </c>
    </row>
    <row r="435" spans="1:11" x14ac:dyDescent="0.3">
      <c r="A435" t="s">
        <v>6080</v>
      </c>
      <c r="B435" t="s">
        <v>3851</v>
      </c>
      <c r="C435" t="s">
        <v>270</v>
      </c>
      <c r="D435" t="s">
        <v>95</v>
      </c>
      <c r="E435" s="1">
        <v>46141</v>
      </c>
      <c r="F435" s="1">
        <v>46182</v>
      </c>
      <c r="G435" s="1">
        <v>46189</v>
      </c>
      <c r="H435">
        <v>4000</v>
      </c>
      <c r="I435" t="s">
        <v>38</v>
      </c>
      <c r="J435">
        <v>7</v>
      </c>
      <c r="K435">
        <v>28000</v>
      </c>
    </row>
    <row r="436" spans="1:11" x14ac:dyDescent="0.3">
      <c r="A436" t="s">
        <v>874</v>
      </c>
      <c r="B436" t="s">
        <v>1102</v>
      </c>
      <c r="C436" t="s">
        <v>343</v>
      </c>
      <c r="D436" t="s">
        <v>33</v>
      </c>
      <c r="E436" s="1">
        <v>46035</v>
      </c>
      <c r="F436" s="1">
        <v>46098</v>
      </c>
      <c r="G436" s="1"/>
      <c r="H436">
        <v>7000</v>
      </c>
      <c r="I436" t="s">
        <v>12</v>
      </c>
      <c r="J436">
        <v>4</v>
      </c>
      <c r="K436">
        <v>28000</v>
      </c>
    </row>
    <row r="437" spans="1:11" x14ac:dyDescent="0.3">
      <c r="A437" t="s">
        <v>876</v>
      </c>
      <c r="B437" t="s">
        <v>2943</v>
      </c>
      <c r="C437" t="s">
        <v>326</v>
      </c>
      <c r="D437" t="s">
        <v>26</v>
      </c>
      <c r="E437" s="1">
        <v>46072</v>
      </c>
      <c r="F437" s="1">
        <v>46091</v>
      </c>
      <c r="G437" s="1"/>
      <c r="H437">
        <v>4000</v>
      </c>
      <c r="I437" t="s">
        <v>12</v>
      </c>
      <c r="J437">
        <v>2</v>
      </c>
      <c r="K437">
        <v>8000</v>
      </c>
    </row>
    <row r="438" spans="1:11" x14ac:dyDescent="0.3">
      <c r="A438" t="s">
        <v>878</v>
      </c>
      <c r="B438" t="s">
        <v>2764</v>
      </c>
      <c r="C438" t="s">
        <v>583</v>
      </c>
      <c r="D438" t="s">
        <v>26</v>
      </c>
      <c r="E438" s="1">
        <v>46037</v>
      </c>
      <c r="F438" s="1">
        <v>46080</v>
      </c>
      <c r="G438" s="1"/>
      <c r="H438">
        <v>5500</v>
      </c>
      <c r="I438" t="s">
        <v>12</v>
      </c>
      <c r="J438">
        <v>6</v>
      </c>
      <c r="K438">
        <v>33000</v>
      </c>
    </row>
    <row r="439" spans="1:11" x14ac:dyDescent="0.3">
      <c r="A439" t="s">
        <v>880</v>
      </c>
      <c r="B439" t="s">
        <v>251</v>
      </c>
      <c r="C439" t="s">
        <v>165</v>
      </c>
      <c r="D439" t="s">
        <v>37</v>
      </c>
      <c r="E439" s="1">
        <v>46069</v>
      </c>
      <c r="F439" s="1">
        <v>46086</v>
      </c>
      <c r="G439" s="1">
        <v>46088</v>
      </c>
      <c r="H439">
        <v>5200</v>
      </c>
      <c r="I439" t="s">
        <v>38</v>
      </c>
      <c r="J439">
        <v>2</v>
      </c>
      <c r="K439">
        <v>10400</v>
      </c>
    </row>
    <row r="440" spans="1:11" x14ac:dyDescent="0.3">
      <c r="A440" t="s">
        <v>882</v>
      </c>
      <c r="B440" t="s">
        <v>474</v>
      </c>
      <c r="C440" t="s">
        <v>214</v>
      </c>
      <c r="D440" t="s">
        <v>11</v>
      </c>
      <c r="E440" s="1">
        <v>46077</v>
      </c>
      <c r="F440" s="1">
        <v>46098</v>
      </c>
      <c r="G440" s="1"/>
      <c r="H440">
        <v>4000</v>
      </c>
      <c r="I440" t="s">
        <v>12</v>
      </c>
      <c r="J440">
        <v>7</v>
      </c>
      <c r="K440">
        <v>28000</v>
      </c>
    </row>
    <row r="441" spans="1:11" x14ac:dyDescent="0.3">
      <c r="A441" t="s">
        <v>884</v>
      </c>
      <c r="B441" t="s">
        <v>151</v>
      </c>
      <c r="C441" t="s">
        <v>255</v>
      </c>
      <c r="D441" t="s">
        <v>237</v>
      </c>
      <c r="E441" s="1">
        <v>46143</v>
      </c>
      <c r="F441" s="1">
        <v>46156</v>
      </c>
      <c r="G441" s="1">
        <v>46161</v>
      </c>
      <c r="H441">
        <v>4200</v>
      </c>
      <c r="I441" t="s">
        <v>38</v>
      </c>
      <c r="J441">
        <v>5</v>
      </c>
      <c r="K441">
        <v>21000</v>
      </c>
    </row>
    <row r="442" spans="1:11" x14ac:dyDescent="0.3">
      <c r="A442" t="s">
        <v>886</v>
      </c>
      <c r="B442" t="s">
        <v>56</v>
      </c>
      <c r="C442" t="s">
        <v>122</v>
      </c>
      <c r="D442" t="s">
        <v>26</v>
      </c>
      <c r="E442" s="1">
        <v>46133</v>
      </c>
      <c r="F442" s="1"/>
      <c r="G442" s="1"/>
      <c r="H442">
        <v>6900</v>
      </c>
      <c r="I442" t="s">
        <v>76</v>
      </c>
      <c r="J442">
        <v>0</v>
      </c>
      <c r="K442">
        <v>0</v>
      </c>
    </row>
    <row r="443" spans="1:11" x14ac:dyDescent="0.3">
      <c r="A443" t="s">
        <v>888</v>
      </c>
      <c r="B443" t="s">
        <v>218</v>
      </c>
      <c r="C443" t="s">
        <v>29</v>
      </c>
      <c r="D443" t="s">
        <v>11</v>
      </c>
      <c r="E443" s="1">
        <v>46104</v>
      </c>
      <c r="F443" s="1">
        <v>46151</v>
      </c>
      <c r="G443" s="1"/>
      <c r="H443">
        <v>5000</v>
      </c>
      <c r="I443" t="s">
        <v>12</v>
      </c>
      <c r="J443">
        <v>6</v>
      </c>
      <c r="K443">
        <v>30000</v>
      </c>
    </row>
    <row r="444" spans="1:11" x14ac:dyDescent="0.3">
      <c r="A444" t="s">
        <v>890</v>
      </c>
      <c r="B444" t="s">
        <v>3098</v>
      </c>
      <c r="C444" t="s">
        <v>273</v>
      </c>
      <c r="D444" t="s">
        <v>48</v>
      </c>
      <c r="E444" s="1">
        <v>46197</v>
      </c>
      <c r="F444" s="1">
        <v>46243</v>
      </c>
      <c r="G444" s="1">
        <v>46245</v>
      </c>
      <c r="H444">
        <v>3700</v>
      </c>
      <c r="I444" t="s">
        <v>38</v>
      </c>
      <c r="J444">
        <v>2</v>
      </c>
      <c r="K444">
        <v>7400</v>
      </c>
    </row>
    <row r="445" spans="1:11" x14ac:dyDescent="0.3">
      <c r="A445" t="s">
        <v>6081</v>
      </c>
      <c r="B445" t="s">
        <v>1238</v>
      </c>
      <c r="C445" t="s">
        <v>270</v>
      </c>
      <c r="D445" t="s">
        <v>11</v>
      </c>
      <c r="E445" s="1">
        <v>46153</v>
      </c>
      <c r="F445" s="1">
        <v>46166</v>
      </c>
      <c r="G445" s="1"/>
      <c r="H445">
        <v>4000</v>
      </c>
      <c r="I445" t="s">
        <v>12</v>
      </c>
      <c r="J445">
        <v>2</v>
      </c>
      <c r="K445">
        <v>8000</v>
      </c>
    </row>
    <row r="446" spans="1:11" x14ac:dyDescent="0.3">
      <c r="A446" t="s">
        <v>892</v>
      </c>
      <c r="B446" t="s">
        <v>409</v>
      </c>
      <c r="C446" t="s">
        <v>32</v>
      </c>
      <c r="D446" t="s">
        <v>26</v>
      </c>
      <c r="E446" s="1">
        <v>46160</v>
      </c>
      <c r="F446" s="1">
        <v>46196</v>
      </c>
      <c r="G446" s="1"/>
      <c r="H446">
        <v>7000</v>
      </c>
      <c r="I446" t="s">
        <v>12</v>
      </c>
      <c r="J446">
        <v>5</v>
      </c>
      <c r="K446">
        <v>35000</v>
      </c>
    </row>
    <row r="447" spans="1:11" x14ac:dyDescent="0.3">
      <c r="A447" t="s">
        <v>894</v>
      </c>
      <c r="B447" t="s">
        <v>1613</v>
      </c>
      <c r="C447" t="s">
        <v>245</v>
      </c>
      <c r="D447" t="s">
        <v>26</v>
      </c>
      <c r="E447" s="1">
        <v>46074</v>
      </c>
      <c r="F447" s="1">
        <v>46149</v>
      </c>
      <c r="G447" s="1"/>
      <c r="H447">
        <v>8300</v>
      </c>
      <c r="I447" t="s">
        <v>12</v>
      </c>
      <c r="J447">
        <v>7</v>
      </c>
      <c r="K447">
        <v>58100</v>
      </c>
    </row>
    <row r="448" spans="1:11" x14ac:dyDescent="0.3">
      <c r="A448" t="s">
        <v>6082</v>
      </c>
      <c r="B448" t="s">
        <v>857</v>
      </c>
      <c r="C448" t="s">
        <v>258</v>
      </c>
      <c r="D448" t="s">
        <v>11</v>
      </c>
      <c r="E448" s="1">
        <v>46166</v>
      </c>
      <c r="F448" s="1">
        <v>46231</v>
      </c>
      <c r="G448" s="1"/>
      <c r="H448">
        <v>4700</v>
      </c>
      <c r="I448" t="s">
        <v>12</v>
      </c>
      <c r="J448">
        <v>7</v>
      </c>
      <c r="K448">
        <v>32900</v>
      </c>
    </row>
    <row r="449" spans="1:11" x14ac:dyDescent="0.3">
      <c r="A449" t="s">
        <v>897</v>
      </c>
      <c r="B449" t="s">
        <v>2945</v>
      </c>
      <c r="C449" t="s">
        <v>81</v>
      </c>
      <c r="D449" t="s">
        <v>33</v>
      </c>
      <c r="E449" s="1">
        <v>46031</v>
      </c>
      <c r="F449" s="1">
        <v>46083</v>
      </c>
      <c r="G449" s="1"/>
      <c r="H449">
        <v>4200</v>
      </c>
      <c r="I449" t="s">
        <v>12</v>
      </c>
      <c r="J449">
        <v>5</v>
      </c>
      <c r="K449">
        <v>21000</v>
      </c>
    </row>
    <row r="450" spans="1:11" x14ac:dyDescent="0.3">
      <c r="A450" t="s">
        <v>899</v>
      </c>
      <c r="B450" t="s">
        <v>4393</v>
      </c>
      <c r="C450" t="s">
        <v>25</v>
      </c>
      <c r="D450" t="s">
        <v>48</v>
      </c>
      <c r="E450" s="1">
        <v>46171</v>
      </c>
      <c r="F450" s="1">
        <v>46211</v>
      </c>
      <c r="G450" s="1">
        <v>46213</v>
      </c>
      <c r="H450">
        <v>6700</v>
      </c>
      <c r="I450" t="s">
        <v>38</v>
      </c>
      <c r="J450">
        <v>2</v>
      </c>
      <c r="K450">
        <v>13400</v>
      </c>
    </row>
    <row r="451" spans="1:11" x14ac:dyDescent="0.3">
      <c r="A451" t="s">
        <v>901</v>
      </c>
      <c r="B451" t="s">
        <v>2978</v>
      </c>
      <c r="C451" t="s">
        <v>175</v>
      </c>
      <c r="D451" t="s">
        <v>19</v>
      </c>
      <c r="E451" s="1">
        <v>46146</v>
      </c>
      <c r="F451" s="1">
        <v>46226</v>
      </c>
      <c r="G451" s="1"/>
      <c r="H451">
        <v>6200</v>
      </c>
      <c r="I451" t="s">
        <v>12</v>
      </c>
      <c r="J451">
        <v>3</v>
      </c>
      <c r="K451">
        <v>18600</v>
      </c>
    </row>
    <row r="452" spans="1:11" x14ac:dyDescent="0.3">
      <c r="A452" t="s">
        <v>6083</v>
      </c>
      <c r="B452" t="s">
        <v>867</v>
      </c>
      <c r="C452" t="s">
        <v>143</v>
      </c>
      <c r="D452" t="s">
        <v>42</v>
      </c>
      <c r="E452" s="1">
        <v>46163</v>
      </c>
      <c r="F452" s="1">
        <v>46178</v>
      </c>
      <c r="G452" s="1">
        <v>46180</v>
      </c>
      <c r="H452">
        <v>5400</v>
      </c>
      <c r="I452" t="s">
        <v>38</v>
      </c>
      <c r="J452">
        <v>2</v>
      </c>
      <c r="K452">
        <v>10800</v>
      </c>
    </row>
    <row r="453" spans="1:11" x14ac:dyDescent="0.3">
      <c r="A453" t="s">
        <v>903</v>
      </c>
      <c r="B453" t="s">
        <v>2839</v>
      </c>
      <c r="C453" t="s">
        <v>98</v>
      </c>
      <c r="D453" t="s">
        <v>95</v>
      </c>
      <c r="E453" s="1">
        <v>46038</v>
      </c>
      <c r="F453" s="1">
        <v>46045</v>
      </c>
      <c r="G453" s="1">
        <v>46046</v>
      </c>
      <c r="H453">
        <v>6700</v>
      </c>
      <c r="I453" t="s">
        <v>38</v>
      </c>
      <c r="J453">
        <v>1</v>
      </c>
      <c r="K453">
        <v>6700</v>
      </c>
    </row>
    <row r="454" spans="1:11" x14ac:dyDescent="0.3">
      <c r="A454" t="s">
        <v>6084</v>
      </c>
      <c r="B454" t="s">
        <v>954</v>
      </c>
      <c r="C454" t="s">
        <v>162</v>
      </c>
      <c r="D454" t="s">
        <v>26</v>
      </c>
      <c r="E454" s="1">
        <v>46142</v>
      </c>
      <c r="F454" s="1">
        <v>46181</v>
      </c>
      <c r="G454" s="1"/>
      <c r="H454">
        <v>8300</v>
      </c>
      <c r="I454" t="s">
        <v>12</v>
      </c>
      <c r="J454">
        <v>5</v>
      </c>
      <c r="K454">
        <v>41500</v>
      </c>
    </row>
    <row r="455" spans="1:11" x14ac:dyDescent="0.3">
      <c r="A455" t="s">
        <v>905</v>
      </c>
      <c r="B455" t="s">
        <v>2258</v>
      </c>
      <c r="C455" t="s">
        <v>29</v>
      </c>
      <c r="D455" t="s">
        <v>237</v>
      </c>
      <c r="E455" s="1">
        <v>46194</v>
      </c>
      <c r="F455" s="1">
        <v>46206</v>
      </c>
      <c r="G455" s="1">
        <v>46208</v>
      </c>
      <c r="H455">
        <v>5000</v>
      </c>
      <c r="I455" t="s">
        <v>38</v>
      </c>
      <c r="J455">
        <v>2</v>
      </c>
      <c r="K455">
        <v>10000</v>
      </c>
    </row>
    <row r="456" spans="1:11" x14ac:dyDescent="0.3">
      <c r="A456" t="s">
        <v>907</v>
      </c>
      <c r="B456" t="s">
        <v>3377</v>
      </c>
      <c r="C456" t="s">
        <v>130</v>
      </c>
      <c r="D456" t="s">
        <v>26</v>
      </c>
      <c r="E456" s="1">
        <v>46100</v>
      </c>
      <c r="F456" s="1">
        <v>46159</v>
      </c>
      <c r="G456" s="1"/>
      <c r="H456">
        <v>6400</v>
      </c>
      <c r="I456" t="s">
        <v>12</v>
      </c>
      <c r="J456">
        <v>5</v>
      </c>
      <c r="K456">
        <v>32000</v>
      </c>
    </row>
    <row r="457" spans="1:11" x14ac:dyDescent="0.3">
      <c r="A457" t="s">
        <v>6085</v>
      </c>
      <c r="B457" t="s">
        <v>3192</v>
      </c>
      <c r="C457" t="s">
        <v>240</v>
      </c>
      <c r="D457" t="s">
        <v>11</v>
      </c>
      <c r="E457" s="1">
        <v>46189</v>
      </c>
      <c r="F457" s="1">
        <v>46277</v>
      </c>
      <c r="G457" s="1"/>
      <c r="H457">
        <v>5400</v>
      </c>
      <c r="I457" t="s">
        <v>12</v>
      </c>
      <c r="J457">
        <v>4</v>
      </c>
      <c r="K457">
        <v>21600</v>
      </c>
    </row>
    <row r="458" spans="1:11" x14ac:dyDescent="0.3">
      <c r="A458" t="s">
        <v>909</v>
      </c>
      <c r="B458" t="s">
        <v>3429</v>
      </c>
      <c r="C458" t="s">
        <v>326</v>
      </c>
      <c r="D458" t="s">
        <v>33</v>
      </c>
      <c r="E458" s="1">
        <v>46081</v>
      </c>
      <c r="F458" s="1">
        <v>46096</v>
      </c>
      <c r="G458" s="1"/>
      <c r="H458">
        <v>4000</v>
      </c>
      <c r="I458" t="s">
        <v>12</v>
      </c>
      <c r="J458">
        <v>5</v>
      </c>
      <c r="K458">
        <v>20000</v>
      </c>
    </row>
    <row r="459" spans="1:11" x14ac:dyDescent="0.3">
      <c r="A459" t="s">
        <v>911</v>
      </c>
      <c r="B459" t="s">
        <v>3356</v>
      </c>
      <c r="C459" t="s">
        <v>594</v>
      </c>
      <c r="D459" t="s">
        <v>19</v>
      </c>
      <c r="E459" s="1">
        <v>46052</v>
      </c>
      <c r="F459" s="1">
        <v>46093</v>
      </c>
      <c r="G459" s="1"/>
      <c r="H459">
        <v>6500</v>
      </c>
      <c r="I459" t="s">
        <v>12</v>
      </c>
      <c r="J459">
        <v>6</v>
      </c>
      <c r="K459">
        <v>39000</v>
      </c>
    </row>
    <row r="460" spans="1:11" x14ac:dyDescent="0.3">
      <c r="A460" t="s">
        <v>913</v>
      </c>
      <c r="B460" t="s">
        <v>2107</v>
      </c>
      <c r="C460" t="s">
        <v>214</v>
      </c>
      <c r="D460" t="s">
        <v>19</v>
      </c>
      <c r="E460" s="1">
        <v>46026</v>
      </c>
      <c r="F460" s="1">
        <v>46062</v>
      </c>
      <c r="G460" s="1"/>
      <c r="H460">
        <v>4000</v>
      </c>
      <c r="I460" t="s">
        <v>12</v>
      </c>
      <c r="J460">
        <v>2</v>
      </c>
      <c r="K460">
        <v>8000</v>
      </c>
    </row>
    <row r="461" spans="1:11" x14ac:dyDescent="0.3">
      <c r="A461" t="s">
        <v>915</v>
      </c>
      <c r="B461" t="s">
        <v>2858</v>
      </c>
      <c r="C461" t="s">
        <v>263</v>
      </c>
      <c r="D461" t="s">
        <v>19</v>
      </c>
      <c r="E461" s="1">
        <v>46178</v>
      </c>
      <c r="F461" s="1">
        <v>46206</v>
      </c>
      <c r="G461" s="1"/>
      <c r="H461">
        <v>4800</v>
      </c>
      <c r="I461" t="s">
        <v>12</v>
      </c>
      <c r="J461">
        <v>7</v>
      </c>
      <c r="K461">
        <v>33600</v>
      </c>
    </row>
    <row r="462" spans="1:11" x14ac:dyDescent="0.3">
      <c r="A462" t="s">
        <v>917</v>
      </c>
      <c r="B462" t="s">
        <v>2747</v>
      </c>
      <c r="C462" t="s">
        <v>407</v>
      </c>
      <c r="D462" t="s">
        <v>48</v>
      </c>
      <c r="E462" s="1">
        <v>46176</v>
      </c>
      <c r="F462" s="1">
        <v>46232</v>
      </c>
      <c r="G462" s="1">
        <v>46236</v>
      </c>
      <c r="H462">
        <v>8000</v>
      </c>
      <c r="I462" t="s">
        <v>38</v>
      </c>
      <c r="J462">
        <v>4</v>
      </c>
      <c r="K462">
        <v>32000</v>
      </c>
    </row>
    <row r="463" spans="1:11" x14ac:dyDescent="0.3">
      <c r="A463" t="s">
        <v>919</v>
      </c>
      <c r="B463" t="s">
        <v>3874</v>
      </c>
      <c r="C463" t="s">
        <v>228</v>
      </c>
      <c r="D463" t="s">
        <v>95</v>
      </c>
      <c r="E463" s="1">
        <v>46086</v>
      </c>
      <c r="F463" s="1">
        <v>46146</v>
      </c>
      <c r="G463" s="1">
        <v>46151</v>
      </c>
      <c r="H463">
        <v>7200</v>
      </c>
      <c r="I463" t="s">
        <v>38</v>
      </c>
      <c r="J463">
        <v>5</v>
      </c>
      <c r="K463">
        <v>36000</v>
      </c>
    </row>
    <row r="464" spans="1:11" x14ac:dyDescent="0.3">
      <c r="A464" t="s">
        <v>921</v>
      </c>
      <c r="B464" t="s">
        <v>626</v>
      </c>
      <c r="C464" t="s">
        <v>18</v>
      </c>
      <c r="D464" t="s">
        <v>26</v>
      </c>
      <c r="E464" s="1">
        <v>46124</v>
      </c>
      <c r="F464" s="1">
        <v>46146</v>
      </c>
      <c r="G464" s="1"/>
      <c r="H464">
        <v>6900</v>
      </c>
      <c r="I464" t="s">
        <v>12</v>
      </c>
      <c r="J464">
        <v>6</v>
      </c>
      <c r="K464">
        <v>41400</v>
      </c>
    </row>
    <row r="465" spans="1:11" x14ac:dyDescent="0.3">
      <c r="A465" t="s">
        <v>923</v>
      </c>
      <c r="B465" t="s">
        <v>4066</v>
      </c>
      <c r="C465" t="s">
        <v>182</v>
      </c>
      <c r="D465" t="s">
        <v>11</v>
      </c>
      <c r="E465" s="1">
        <v>46041</v>
      </c>
      <c r="F465" s="1">
        <v>46130</v>
      </c>
      <c r="G465" s="1"/>
      <c r="H465">
        <v>7000</v>
      </c>
      <c r="I465" t="s">
        <v>12</v>
      </c>
      <c r="J465">
        <v>5</v>
      </c>
      <c r="K465">
        <v>35000</v>
      </c>
    </row>
    <row r="466" spans="1:11" x14ac:dyDescent="0.3">
      <c r="A466" t="s">
        <v>925</v>
      </c>
      <c r="B466" t="s">
        <v>2507</v>
      </c>
      <c r="C466" t="s">
        <v>896</v>
      </c>
      <c r="D466" t="s">
        <v>42</v>
      </c>
      <c r="E466" s="1">
        <v>46133</v>
      </c>
      <c r="F466" s="1">
        <v>46167</v>
      </c>
      <c r="G466" s="1">
        <v>46170</v>
      </c>
      <c r="H466">
        <v>6200</v>
      </c>
      <c r="I466" t="s">
        <v>38</v>
      </c>
      <c r="J466">
        <v>3</v>
      </c>
      <c r="K466">
        <v>18600</v>
      </c>
    </row>
    <row r="467" spans="1:11" x14ac:dyDescent="0.3">
      <c r="A467" t="s">
        <v>6086</v>
      </c>
      <c r="B467" t="s">
        <v>2848</v>
      </c>
      <c r="C467" t="s">
        <v>36</v>
      </c>
      <c r="D467" t="s">
        <v>33</v>
      </c>
      <c r="E467" s="1">
        <v>46190</v>
      </c>
      <c r="F467" s="1">
        <v>46280</v>
      </c>
      <c r="G467" s="1"/>
      <c r="H467">
        <v>7000</v>
      </c>
      <c r="I467" t="s">
        <v>12</v>
      </c>
      <c r="J467">
        <v>5</v>
      </c>
      <c r="K467">
        <v>35000</v>
      </c>
    </row>
    <row r="468" spans="1:11" x14ac:dyDescent="0.3">
      <c r="A468" t="s">
        <v>927</v>
      </c>
      <c r="B468" t="s">
        <v>2412</v>
      </c>
      <c r="C468" t="s">
        <v>122</v>
      </c>
      <c r="D468" t="s">
        <v>33</v>
      </c>
      <c r="E468" s="1">
        <v>46195</v>
      </c>
      <c r="F468" s="1">
        <v>46210</v>
      </c>
      <c r="G468" s="1"/>
      <c r="H468">
        <v>6900</v>
      </c>
      <c r="I468" t="s">
        <v>12</v>
      </c>
      <c r="J468">
        <v>4</v>
      </c>
      <c r="K468">
        <v>27600</v>
      </c>
    </row>
    <row r="469" spans="1:11" x14ac:dyDescent="0.3">
      <c r="A469" t="s">
        <v>929</v>
      </c>
      <c r="B469" t="s">
        <v>4340</v>
      </c>
      <c r="C469" t="s">
        <v>10</v>
      </c>
      <c r="D469" t="s">
        <v>19</v>
      </c>
      <c r="E469" s="1">
        <v>46203</v>
      </c>
      <c r="F469" s="1">
        <v>46289</v>
      </c>
      <c r="G469" s="1"/>
      <c r="H469">
        <v>6700</v>
      </c>
      <c r="I469" t="s">
        <v>12</v>
      </c>
      <c r="J469">
        <v>6</v>
      </c>
      <c r="K469">
        <v>40200</v>
      </c>
    </row>
    <row r="470" spans="1:11" x14ac:dyDescent="0.3">
      <c r="A470" t="s">
        <v>931</v>
      </c>
      <c r="B470" t="s">
        <v>3707</v>
      </c>
      <c r="C470" t="s">
        <v>73</v>
      </c>
      <c r="D470" t="s">
        <v>11</v>
      </c>
      <c r="E470" s="1">
        <v>46106</v>
      </c>
      <c r="F470" s="1"/>
      <c r="G470" s="1"/>
      <c r="H470">
        <v>7800</v>
      </c>
      <c r="I470" t="s">
        <v>76</v>
      </c>
      <c r="J470">
        <v>0</v>
      </c>
      <c r="K470">
        <v>0</v>
      </c>
    </row>
    <row r="471" spans="1:11" x14ac:dyDescent="0.3">
      <c r="A471" t="s">
        <v>933</v>
      </c>
      <c r="B471" t="s">
        <v>4045</v>
      </c>
      <c r="C471" t="s">
        <v>112</v>
      </c>
      <c r="D471" t="s">
        <v>95</v>
      </c>
      <c r="E471" s="1">
        <v>46173</v>
      </c>
      <c r="F471" s="1">
        <v>46219</v>
      </c>
      <c r="G471" s="1">
        <v>46223</v>
      </c>
      <c r="H471">
        <v>4800</v>
      </c>
      <c r="I471" t="s">
        <v>38</v>
      </c>
      <c r="J471">
        <v>4</v>
      </c>
      <c r="K471">
        <v>19200</v>
      </c>
    </row>
    <row r="472" spans="1:11" x14ac:dyDescent="0.3">
      <c r="A472" t="s">
        <v>935</v>
      </c>
      <c r="B472" t="s">
        <v>875</v>
      </c>
      <c r="C472" t="s">
        <v>338</v>
      </c>
      <c r="D472" t="s">
        <v>237</v>
      </c>
      <c r="E472" s="1">
        <v>46192</v>
      </c>
      <c r="F472" s="1">
        <v>46201</v>
      </c>
      <c r="G472" s="1">
        <v>46204</v>
      </c>
      <c r="H472">
        <v>7700</v>
      </c>
      <c r="I472" t="s">
        <v>38</v>
      </c>
      <c r="J472">
        <v>3</v>
      </c>
      <c r="K472">
        <v>23100</v>
      </c>
    </row>
    <row r="473" spans="1:11" x14ac:dyDescent="0.3">
      <c r="A473" t="s">
        <v>937</v>
      </c>
      <c r="B473" t="s">
        <v>1526</v>
      </c>
      <c r="C473" t="s">
        <v>168</v>
      </c>
      <c r="D473" t="s">
        <v>11</v>
      </c>
      <c r="E473" s="1">
        <v>46040</v>
      </c>
      <c r="F473" s="1">
        <v>46119</v>
      </c>
      <c r="G473" s="1"/>
      <c r="H473">
        <v>4300</v>
      </c>
      <c r="I473" t="s">
        <v>12</v>
      </c>
      <c r="J473">
        <v>2</v>
      </c>
      <c r="K473">
        <v>8600</v>
      </c>
    </row>
    <row r="474" spans="1:11" x14ac:dyDescent="0.3">
      <c r="A474" t="s">
        <v>939</v>
      </c>
      <c r="B474" t="s">
        <v>2794</v>
      </c>
      <c r="C474" t="s">
        <v>64</v>
      </c>
      <c r="D474" t="s">
        <v>95</v>
      </c>
      <c r="E474" s="1">
        <v>46077</v>
      </c>
      <c r="F474" s="1">
        <v>46111</v>
      </c>
      <c r="G474" s="1">
        <v>46113</v>
      </c>
      <c r="H474">
        <v>4700</v>
      </c>
      <c r="I474" t="s">
        <v>38</v>
      </c>
      <c r="J474">
        <v>2</v>
      </c>
      <c r="K474">
        <v>9400</v>
      </c>
    </row>
    <row r="475" spans="1:11" x14ac:dyDescent="0.3">
      <c r="A475" t="s">
        <v>941</v>
      </c>
      <c r="B475" t="s">
        <v>3991</v>
      </c>
      <c r="C475" t="s">
        <v>146</v>
      </c>
      <c r="D475" t="s">
        <v>95</v>
      </c>
      <c r="E475" s="1">
        <v>46172</v>
      </c>
      <c r="F475" s="1">
        <v>46193</v>
      </c>
      <c r="G475" s="1">
        <v>46200</v>
      </c>
      <c r="H475">
        <v>4700</v>
      </c>
      <c r="I475" t="s">
        <v>38</v>
      </c>
      <c r="J475">
        <v>7</v>
      </c>
      <c r="K475">
        <v>32900</v>
      </c>
    </row>
    <row r="476" spans="1:11" x14ac:dyDescent="0.3">
      <c r="A476" t="s">
        <v>6087</v>
      </c>
      <c r="B476" t="s">
        <v>3145</v>
      </c>
      <c r="C476" t="s">
        <v>211</v>
      </c>
      <c r="D476" t="s">
        <v>33</v>
      </c>
      <c r="E476" s="1">
        <v>46095</v>
      </c>
      <c r="F476" s="1">
        <v>46145</v>
      </c>
      <c r="G476" s="1"/>
      <c r="H476">
        <v>7200</v>
      </c>
      <c r="I476" t="s">
        <v>12</v>
      </c>
      <c r="J476">
        <v>4</v>
      </c>
      <c r="K476">
        <v>28800</v>
      </c>
    </row>
    <row r="477" spans="1:11" x14ac:dyDescent="0.3">
      <c r="A477" t="s">
        <v>943</v>
      </c>
      <c r="B477" t="s">
        <v>450</v>
      </c>
      <c r="C477" t="s">
        <v>119</v>
      </c>
      <c r="D477" t="s">
        <v>26</v>
      </c>
      <c r="E477" s="1">
        <v>46098</v>
      </c>
      <c r="F477" s="1">
        <v>46146</v>
      </c>
      <c r="G477" s="1"/>
      <c r="H477">
        <v>4700</v>
      </c>
      <c r="I477" t="s">
        <v>12</v>
      </c>
      <c r="J477">
        <v>6</v>
      </c>
      <c r="K477">
        <v>28200</v>
      </c>
    </row>
    <row r="478" spans="1:11" x14ac:dyDescent="0.3">
      <c r="A478" t="s">
        <v>945</v>
      </c>
      <c r="B478" t="s">
        <v>1058</v>
      </c>
      <c r="C478" t="s">
        <v>29</v>
      </c>
      <c r="D478" t="s">
        <v>26</v>
      </c>
      <c r="E478" s="1">
        <v>46081</v>
      </c>
      <c r="F478" s="1">
        <v>46145</v>
      </c>
      <c r="G478" s="1"/>
      <c r="H478">
        <v>5000</v>
      </c>
      <c r="I478" t="s">
        <v>12</v>
      </c>
      <c r="J478">
        <v>7</v>
      </c>
      <c r="K478">
        <v>35000</v>
      </c>
    </row>
    <row r="479" spans="1:11" x14ac:dyDescent="0.3">
      <c r="A479" t="s">
        <v>947</v>
      </c>
      <c r="B479" t="s">
        <v>2741</v>
      </c>
      <c r="C479" t="s">
        <v>407</v>
      </c>
      <c r="D479" t="s">
        <v>48</v>
      </c>
      <c r="E479" s="1">
        <v>46143</v>
      </c>
      <c r="F479" s="1">
        <v>46172</v>
      </c>
      <c r="G479" s="1">
        <v>46176</v>
      </c>
      <c r="H479">
        <v>8000</v>
      </c>
      <c r="I479" t="s">
        <v>38</v>
      </c>
      <c r="J479">
        <v>4</v>
      </c>
      <c r="K479">
        <v>32000</v>
      </c>
    </row>
    <row r="480" spans="1:11" x14ac:dyDescent="0.3">
      <c r="A480" t="s">
        <v>949</v>
      </c>
      <c r="B480" t="s">
        <v>3581</v>
      </c>
      <c r="C480" t="s">
        <v>583</v>
      </c>
      <c r="D480" t="s">
        <v>33</v>
      </c>
      <c r="E480" s="1">
        <v>46153</v>
      </c>
      <c r="F480" s="1">
        <v>46183</v>
      </c>
      <c r="G480" s="1"/>
      <c r="H480">
        <v>5500</v>
      </c>
      <c r="I480" t="s">
        <v>12</v>
      </c>
      <c r="J480">
        <v>2</v>
      </c>
      <c r="K480">
        <v>11000</v>
      </c>
    </row>
    <row r="481" spans="1:11" x14ac:dyDescent="0.3">
      <c r="A481" t="s">
        <v>951</v>
      </c>
      <c r="B481" t="s">
        <v>545</v>
      </c>
      <c r="C481" t="s">
        <v>67</v>
      </c>
      <c r="D481" t="s">
        <v>33</v>
      </c>
      <c r="E481" s="1">
        <v>46138</v>
      </c>
      <c r="F481" s="1">
        <v>46153</v>
      </c>
      <c r="G481" s="1"/>
      <c r="H481">
        <v>9000</v>
      </c>
      <c r="I481" t="s">
        <v>12</v>
      </c>
      <c r="J481">
        <v>2</v>
      </c>
      <c r="K481">
        <v>18000</v>
      </c>
    </row>
    <row r="482" spans="1:11" x14ac:dyDescent="0.3">
      <c r="A482" t="s">
        <v>953</v>
      </c>
      <c r="B482" t="s">
        <v>1118</v>
      </c>
      <c r="C482" t="s">
        <v>98</v>
      </c>
      <c r="D482" t="s">
        <v>33</v>
      </c>
      <c r="E482" s="1">
        <v>46194</v>
      </c>
      <c r="F482" s="1">
        <v>46278</v>
      </c>
      <c r="G482" s="1"/>
      <c r="H482">
        <v>6700</v>
      </c>
      <c r="I482" t="s">
        <v>12</v>
      </c>
      <c r="J482">
        <v>7</v>
      </c>
      <c r="K482">
        <v>46900</v>
      </c>
    </row>
    <row r="483" spans="1:11" x14ac:dyDescent="0.3">
      <c r="A483" t="s">
        <v>955</v>
      </c>
      <c r="B483" t="s">
        <v>3287</v>
      </c>
      <c r="C483" t="s">
        <v>165</v>
      </c>
      <c r="D483" t="s">
        <v>33</v>
      </c>
      <c r="E483" s="1">
        <v>46158</v>
      </c>
      <c r="F483" s="1">
        <v>46221</v>
      </c>
      <c r="G483" s="1"/>
      <c r="H483">
        <v>5200</v>
      </c>
      <c r="I483" t="s">
        <v>12</v>
      </c>
      <c r="J483">
        <v>7</v>
      </c>
      <c r="K483">
        <v>36400</v>
      </c>
    </row>
    <row r="484" spans="1:11" x14ac:dyDescent="0.3">
      <c r="A484" t="s">
        <v>6088</v>
      </c>
      <c r="B484" t="s">
        <v>1104</v>
      </c>
      <c r="C484" t="s">
        <v>10</v>
      </c>
      <c r="D484" t="s">
        <v>19</v>
      </c>
      <c r="E484" s="1">
        <v>46112</v>
      </c>
      <c r="F484" s="1">
        <v>46142</v>
      </c>
      <c r="G484" s="1"/>
      <c r="H484">
        <v>6700</v>
      </c>
      <c r="I484" t="s">
        <v>12</v>
      </c>
      <c r="J484">
        <v>5</v>
      </c>
      <c r="K484">
        <v>33500</v>
      </c>
    </row>
    <row r="485" spans="1:11" x14ac:dyDescent="0.3">
      <c r="A485" t="s">
        <v>957</v>
      </c>
      <c r="B485" t="s">
        <v>4239</v>
      </c>
      <c r="C485" t="s">
        <v>61</v>
      </c>
      <c r="D485" t="s">
        <v>11</v>
      </c>
      <c r="E485" s="1">
        <v>46141</v>
      </c>
      <c r="F485" s="1">
        <v>46155</v>
      </c>
      <c r="G485" s="1"/>
      <c r="H485">
        <v>3500</v>
      </c>
      <c r="I485" t="s">
        <v>12</v>
      </c>
      <c r="J485">
        <v>2</v>
      </c>
      <c r="K485">
        <v>7000</v>
      </c>
    </row>
    <row r="486" spans="1:11" x14ac:dyDescent="0.3">
      <c r="A486" t="s">
        <v>959</v>
      </c>
      <c r="B486" t="s">
        <v>871</v>
      </c>
      <c r="C486" t="s">
        <v>222</v>
      </c>
      <c r="D486" t="s">
        <v>26</v>
      </c>
      <c r="E486" s="1">
        <v>46031</v>
      </c>
      <c r="F486" s="1">
        <v>46100</v>
      </c>
      <c r="G486" s="1"/>
      <c r="H486">
        <v>5200</v>
      </c>
      <c r="I486" t="s">
        <v>12</v>
      </c>
      <c r="J486">
        <v>4</v>
      </c>
      <c r="K486">
        <v>20800</v>
      </c>
    </row>
    <row r="487" spans="1:11" x14ac:dyDescent="0.3">
      <c r="A487" t="s">
        <v>6089</v>
      </c>
      <c r="B487" t="s">
        <v>1278</v>
      </c>
      <c r="C487" t="s">
        <v>343</v>
      </c>
      <c r="D487" t="s">
        <v>223</v>
      </c>
      <c r="E487" s="1">
        <v>46175</v>
      </c>
      <c r="F487" s="1">
        <v>46180</v>
      </c>
      <c r="G487" s="1">
        <v>46184</v>
      </c>
      <c r="H487">
        <v>7000</v>
      </c>
      <c r="I487" t="s">
        <v>38</v>
      </c>
      <c r="J487">
        <v>4</v>
      </c>
      <c r="K487">
        <v>28000</v>
      </c>
    </row>
    <row r="488" spans="1:11" x14ac:dyDescent="0.3">
      <c r="A488" t="s">
        <v>961</v>
      </c>
      <c r="B488" t="s">
        <v>1945</v>
      </c>
      <c r="C488" t="s">
        <v>10</v>
      </c>
      <c r="D488" t="s">
        <v>19</v>
      </c>
      <c r="E488" s="1">
        <v>46180</v>
      </c>
      <c r="F488" s="1">
        <v>46224</v>
      </c>
      <c r="G488" s="1"/>
      <c r="H488">
        <v>6700</v>
      </c>
      <c r="I488" t="s">
        <v>12</v>
      </c>
      <c r="J488">
        <v>1</v>
      </c>
      <c r="K488">
        <v>6700</v>
      </c>
    </row>
    <row r="489" spans="1:11" x14ac:dyDescent="0.3">
      <c r="A489" t="s">
        <v>963</v>
      </c>
      <c r="B489" t="s">
        <v>723</v>
      </c>
      <c r="C489" t="s">
        <v>255</v>
      </c>
      <c r="D489" t="s">
        <v>33</v>
      </c>
      <c r="E489" s="1">
        <v>46147</v>
      </c>
      <c r="F489" s="1"/>
      <c r="G489" s="1"/>
      <c r="H489">
        <v>4200</v>
      </c>
      <c r="I489" t="s">
        <v>76</v>
      </c>
      <c r="J489">
        <v>0</v>
      </c>
      <c r="K489">
        <v>0</v>
      </c>
    </row>
    <row r="490" spans="1:11" x14ac:dyDescent="0.3">
      <c r="A490" t="s">
        <v>965</v>
      </c>
      <c r="B490" t="s">
        <v>1677</v>
      </c>
      <c r="C490" t="s">
        <v>222</v>
      </c>
      <c r="D490" t="s">
        <v>11</v>
      </c>
      <c r="E490" s="1">
        <v>46070</v>
      </c>
      <c r="F490" s="1">
        <v>46110</v>
      </c>
      <c r="G490" s="1"/>
      <c r="H490">
        <v>5200</v>
      </c>
      <c r="I490" t="s">
        <v>12</v>
      </c>
      <c r="J490">
        <v>6</v>
      </c>
      <c r="K490">
        <v>31200</v>
      </c>
    </row>
    <row r="491" spans="1:11" x14ac:dyDescent="0.3">
      <c r="A491" t="s">
        <v>967</v>
      </c>
      <c r="B491" t="s">
        <v>3522</v>
      </c>
      <c r="C491" t="s">
        <v>263</v>
      </c>
      <c r="D491" t="s">
        <v>26</v>
      </c>
      <c r="E491" s="1">
        <v>46059</v>
      </c>
      <c r="F491" s="1">
        <v>46092</v>
      </c>
      <c r="G491" s="1"/>
      <c r="H491">
        <v>4800</v>
      </c>
      <c r="I491" t="s">
        <v>12</v>
      </c>
      <c r="J491">
        <v>2</v>
      </c>
      <c r="K491">
        <v>9600</v>
      </c>
    </row>
    <row r="492" spans="1:11" x14ac:dyDescent="0.3">
      <c r="A492" t="s">
        <v>6090</v>
      </c>
      <c r="B492" t="s">
        <v>837</v>
      </c>
      <c r="C492" t="s">
        <v>182</v>
      </c>
      <c r="D492" t="s">
        <v>26</v>
      </c>
      <c r="E492" s="1">
        <v>46154</v>
      </c>
      <c r="F492" s="1">
        <v>46171</v>
      </c>
      <c r="G492" s="1"/>
      <c r="H492">
        <v>7000</v>
      </c>
      <c r="I492" t="s">
        <v>12</v>
      </c>
      <c r="J492">
        <v>7</v>
      </c>
      <c r="K492">
        <v>49000</v>
      </c>
    </row>
    <row r="493" spans="1:11" x14ac:dyDescent="0.3">
      <c r="A493" t="s">
        <v>6091</v>
      </c>
      <c r="B493" t="s">
        <v>2232</v>
      </c>
      <c r="C493" t="s">
        <v>73</v>
      </c>
      <c r="D493" t="s">
        <v>19</v>
      </c>
      <c r="E493" s="1">
        <v>46051</v>
      </c>
      <c r="F493" s="1">
        <v>46130</v>
      </c>
      <c r="G493" s="1"/>
      <c r="H493">
        <v>7800</v>
      </c>
      <c r="I493" t="s">
        <v>12</v>
      </c>
      <c r="J493">
        <v>4</v>
      </c>
      <c r="K493">
        <v>31200</v>
      </c>
    </row>
    <row r="494" spans="1:11" x14ac:dyDescent="0.3">
      <c r="A494" t="s">
        <v>969</v>
      </c>
      <c r="B494" t="s">
        <v>3880</v>
      </c>
      <c r="C494" t="s">
        <v>222</v>
      </c>
      <c r="D494" t="s">
        <v>11</v>
      </c>
      <c r="E494" s="1">
        <v>46115</v>
      </c>
      <c r="F494" s="1">
        <v>46171</v>
      </c>
      <c r="G494" s="1"/>
      <c r="H494">
        <v>5200</v>
      </c>
      <c r="I494" t="s">
        <v>12</v>
      </c>
      <c r="J494">
        <v>5</v>
      </c>
      <c r="K494">
        <v>26000</v>
      </c>
    </row>
    <row r="495" spans="1:11" x14ac:dyDescent="0.3">
      <c r="A495" t="s">
        <v>971</v>
      </c>
      <c r="B495" t="s">
        <v>1922</v>
      </c>
      <c r="C495" t="s">
        <v>54</v>
      </c>
      <c r="D495" t="s">
        <v>11</v>
      </c>
      <c r="E495" s="1">
        <v>46169</v>
      </c>
      <c r="F495" s="1">
        <v>46198</v>
      </c>
      <c r="G495" s="1"/>
      <c r="H495">
        <v>7500</v>
      </c>
      <c r="I495" t="s">
        <v>12</v>
      </c>
      <c r="J495">
        <v>5</v>
      </c>
      <c r="K495">
        <v>37500</v>
      </c>
    </row>
    <row r="496" spans="1:11" x14ac:dyDescent="0.3">
      <c r="A496" t="s">
        <v>973</v>
      </c>
      <c r="B496" t="s">
        <v>2514</v>
      </c>
      <c r="C496" t="s">
        <v>119</v>
      </c>
      <c r="D496" t="s">
        <v>223</v>
      </c>
      <c r="E496" s="1">
        <v>46137</v>
      </c>
      <c r="F496" s="1">
        <v>46196</v>
      </c>
      <c r="G496" s="1">
        <v>46197</v>
      </c>
      <c r="H496">
        <v>4700</v>
      </c>
      <c r="I496" t="s">
        <v>38</v>
      </c>
      <c r="J496">
        <v>1</v>
      </c>
      <c r="K496">
        <v>4700</v>
      </c>
    </row>
    <row r="497" spans="1:11" x14ac:dyDescent="0.3">
      <c r="A497" t="s">
        <v>975</v>
      </c>
      <c r="B497" t="s">
        <v>2339</v>
      </c>
      <c r="C497" t="s">
        <v>219</v>
      </c>
      <c r="D497" t="s">
        <v>48</v>
      </c>
      <c r="E497" s="1">
        <v>46049</v>
      </c>
      <c r="F497" s="1">
        <v>46066</v>
      </c>
      <c r="G497" s="1">
        <v>46072</v>
      </c>
      <c r="H497">
        <v>4700</v>
      </c>
      <c r="I497" t="s">
        <v>38</v>
      </c>
      <c r="J497">
        <v>6</v>
      </c>
      <c r="K497">
        <v>28200</v>
      </c>
    </row>
    <row r="498" spans="1:11" x14ac:dyDescent="0.3">
      <c r="A498" t="s">
        <v>6092</v>
      </c>
      <c r="B498" t="s">
        <v>3163</v>
      </c>
      <c r="C498" t="s">
        <v>64</v>
      </c>
      <c r="D498" t="s">
        <v>11</v>
      </c>
      <c r="E498" s="1">
        <v>46110</v>
      </c>
      <c r="F498" s="1">
        <v>46175</v>
      </c>
      <c r="G498" s="1"/>
      <c r="H498">
        <v>4700</v>
      </c>
      <c r="I498" t="s">
        <v>12</v>
      </c>
      <c r="J498">
        <v>2</v>
      </c>
      <c r="K498">
        <v>9400</v>
      </c>
    </row>
    <row r="499" spans="1:11" x14ac:dyDescent="0.3">
      <c r="A499" t="s">
        <v>977</v>
      </c>
      <c r="B499" t="s">
        <v>857</v>
      </c>
      <c r="C499" t="s">
        <v>106</v>
      </c>
      <c r="D499" t="s">
        <v>223</v>
      </c>
      <c r="E499" s="1">
        <v>46064</v>
      </c>
      <c r="F499" s="1">
        <v>46065</v>
      </c>
      <c r="G499" s="1">
        <v>46069</v>
      </c>
      <c r="H499">
        <v>4300</v>
      </c>
      <c r="I499" t="s">
        <v>38</v>
      </c>
      <c r="J499">
        <v>4</v>
      </c>
      <c r="K499">
        <v>17200</v>
      </c>
    </row>
    <row r="500" spans="1:11" x14ac:dyDescent="0.3">
      <c r="A500" t="s">
        <v>6093</v>
      </c>
      <c r="B500" t="s">
        <v>566</v>
      </c>
      <c r="C500" t="s">
        <v>67</v>
      </c>
      <c r="D500" t="s">
        <v>26</v>
      </c>
      <c r="E500" s="1">
        <v>46091</v>
      </c>
      <c r="F500" s="1">
        <v>46164</v>
      </c>
      <c r="G500" s="1"/>
      <c r="H500">
        <v>9000</v>
      </c>
      <c r="I500" t="s">
        <v>12</v>
      </c>
      <c r="J500">
        <v>4</v>
      </c>
      <c r="K500">
        <v>36000</v>
      </c>
    </row>
    <row r="501" spans="1:11" x14ac:dyDescent="0.3">
      <c r="A501" t="s">
        <v>979</v>
      </c>
      <c r="B501" t="s">
        <v>688</v>
      </c>
      <c r="C501" t="s">
        <v>240</v>
      </c>
      <c r="D501" t="s">
        <v>42</v>
      </c>
      <c r="E501" s="1">
        <v>46050</v>
      </c>
      <c r="F501" s="1">
        <v>46060</v>
      </c>
      <c r="G501" s="1">
        <v>46064</v>
      </c>
      <c r="H501">
        <v>5400</v>
      </c>
      <c r="I501" t="s">
        <v>38</v>
      </c>
      <c r="J501">
        <v>4</v>
      </c>
      <c r="K501">
        <v>21600</v>
      </c>
    </row>
    <row r="502" spans="1:11" x14ac:dyDescent="0.3">
      <c r="A502" t="s">
        <v>981</v>
      </c>
      <c r="B502" t="s">
        <v>3443</v>
      </c>
      <c r="C502" t="s">
        <v>125</v>
      </c>
      <c r="D502" t="s">
        <v>19</v>
      </c>
      <c r="E502" s="1">
        <v>46055</v>
      </c>
      <c r="F502" s="1">
        <v>46077</v>
      </c>
      <c r="G502" s="1"/>
      <c r="H502">
        <v>4800</v>
      </c>
      <c r="I502" t="s">
        <v>12</v>
      </c>
      <c r="J502">
        <v>3</v>
      </c>
      <c r="K502">
        <v>14400</v>
      </c>
    </row>
    <row r="503" spans="1:11" x14ac:dyDescent="0.3">
      <c r="A503" t="s">
        <v>6094</v>
      </c>
      <c r="B503" t="s">
        <v>554</v>
      </c>
      <c r="C503" t="s">
        <v>54</v>
      </c>
      <c r="D503" t="s">
        <v>11</v>
      </c>
      <c r="E503" s="1">
        <v>46097</v>
      </c>
      <c r="F503" s="1">
        <v>46158</v>
      </c>
      <c r="G503" s="1"/>
      <c r="H503">
        <v>7500</v>
      </c>
      <c r="I503" t="s">
        <v>12</v>
      </c>
      <c r="J503">
        <v>3</v>
      </c>
      <c r="K503">
        <v>22500</v>
      </c>
    </row>
    <row r="504" spans="1:11" x14ac:dyDescent="0.3">
      <c r="A504" t="s">
        <v>983</v>
      </c>
      <c r="B504" t="s">
        <v>2105</v>
      </c>
      <c r="C504" t="s">
        <v>326</v>
      </c>
      <c r="D504" t="s">
        <v>33</v>
      </c>
      <c r="E504" s="1">
        <v>46119</v>
      </c>
      <c r="F504" s="1">
        <v>46144</v>
      </c>
      <c r="G504" s="1"/>
      <c r="H504">
        <v>4000</v>
      </c>
      <c r="I504" t="s">
        <v>12</v>
      </c>
      <c r="J504">
        <v>1</v>
      </c>
      <c r="K504">
        <v>4000</v>
      </c>
    </row>
    <row r="505" spans="1:11" x14ac:dyDescent="0.3">
      <c r="A505" t="s">
        <v>985</v>
      </c>
      <c r="B505" t="s">
        <v>2034</v>
      </c>
      <c r="C505" t="s">
        <v>214</v>
      </c>
      <c r="D505" t="s">
        <v>237</v>
      </c>
      <c r="E505" s="1">
        <v>46104</v>
      </c>
      <c r="F505" s="1">
        <v>46139</v>
      </c>
      <c r="G505" s="1">
        <v>46142</v>
      </c>
      <c r="H505">
        <v>4000</v>
      </c>
      <c r="I505" t="s">
        <v>38</v>
      </c>
      <c r="J505">
        <v>3</v>
      </c>
      <c r="K505">
        <v>12000</v>
      </c>
    </row>
    <row r="506" spans="1:11" x14ac:dyDescent="0.3">
      <c r="A506" t="s">
        <v>6095</v>
      </c>
      <c r="B506" t="s">
        <v>652</v>
      </c>
      <c r="C506" t="s">
        <v>61</v>
      </c>
      <c r="D506" t="s">
        <v>26</v>
      </c>
      <c r="E506" s="1">
        <v>46201</v>
      </c>
      <c r="F506" s="1">
        <v>46257</v>
      </c>
      <c r="G506" s="1"/>
      <c r="H506">
        <v>3500</v>
      </c>
      <c r="I506" t="s">
        <v>12</v>
      </c>
      <c r="J506">
        <v>1</v>
      </c>
      <c r="K506">
        <v>3500</v>
      </c>
    </row>
    <row r="507" spans="1:11" x14ac:dyDescent="0.3">
      <c r="A507" t="s">
        <v>6096</v>
      </c>
      <c r="B507" t="s">
        <v>3318</v>
      </c>
      <c r="C507" t="s">
        <v>18</v>
      </c>
      <c r="D507" t="s">
        <v>26</v>
      </c>
      <c r="E507" s="1">
        <v>46158</v>
      </c>
      <c r="F507" s="1">
        <v>46239</v>
      </c>
      <c r="G507" s="1"/>
      <c r="H507">
        <v>6900</v>
      </c>
      <c r="I507" t="s">
        <v>12</v>
      </c>
      <c r="J507">
        <v>5</v>
      </c>
      <c r="K507">
        <v>34500</v>
      </c>
    </row>
    <row r="508" spans="1:11" x14ac:dyDescent="0.3">
      <c r="A508" t="s">
        <v>6097</v>
      </c>
      <c r="B508" t="s">
        <v>3079</v>
      </c>
      <c r="C508" t="s">
        <v>175</v>
      </c>
      <c r="D508" t="s">
        <v>26</v>
      </c>
      <c r="E508" s="1">
        <v>46131</v>
      </c>
      <c r="F508" s="1">
        <v>46184</v>
      </c>
      <c r="G508" s="1"/>
      <c r="H508">
        <v>6200</v>
      </c>
      <c r="I508" t="s">
        <v>12</v>
      </c>
      <c r="J508">
        <v>6</v>
      </c>
      <c r="K508">
        <v>37200</v>
      </c>
    </row>
    <row r="509" spans="1:11" x14ac:dyDescent="0.3">
      <c r="A509" t="s">
        <v>987</v>
      </c>
      <c r="B509" t="s">
        <v>1054</v>
      </c>
      <c r="C509" t="s">
        <v>583</v>
      </c>
      <c r="D509" t="s">
        <v>19</v>
      </c>
      <c r="E509" s="1">
        <v>46078</v>
      </c>
      <c r="F509" s="1">
        <v>46160</v>
      </c>
      <c r="G509" s="1"/>
      <c r="H509">
        <v>5500</v>
      </c>
      <c r="I509" t="s">
        <v>12</v>
      </c>
      <c r="J509">
        <v>6</v>
      </c>
      <c r="K509">
        <v>33000</v>
      </c>
    </row>
    <row r="510" spans="1:11" x14ac:dyDescent="0.3">
      <c r="A510" t="s">
        <v>989</v>
      </c>
      <c r="B510" t="s">
        <v>3554</v>
      </c>
      <c r="C510" t="s">
        <v>211</v>
      </c>
      <c r="D510" t="s">
        <v>33</v>
      </c>
      <c r="E510" s="1">
        <v>46129</v>
      </c>
      <c r="F510" s="1">
        <v>46150</v>
      </c>
      <c r="G510" s="1"/>
      <c r="H510">
        <v>7200</v>
      </c>
      <c r="I510" t="s">
        <v>12</v>
      </c>
      <c r="J510">
        <v>6</v>
      </c>
      <c r="K510">
        <v>43200</v>
      </c>
    </row>
    <row r="511" spans="1:11" x14ac:dyDescent="0.3">
      <c r="A511" t="s">
        <v>991</v>
      </c>
      <c r="B511" t="s">
        <v>2264</v>
      </c>
      <c r="C511" t="s">
        <v>45</v>
      </c>
      <c r="D511" t="s">
        <v>19</v>
      </c>
      <c r="E511" s="1">
        <v>46059</v>
      </c>
      <c r="F511" s="1">
        <v>46136</v>
      </c>
      <c r="G511" s="1"/>
      <c r="H511">
        <v>7700</v>
      </c>
      <c r="I511" t="s">
        <v>12</v>
      </c>
      <c r="J511">
        <v>4</v>
      </c>
      <c r="K511">
        <v>30800</v>
      </c>
    </row>
    <row r="512" spans="1:11" x14ac:dyDescent="0.3">
      <c r="A512" t="s">
        <v>993</v>
      </c>
      <c r="B512" t="s">
        <v>1885</v>
      </c>
      <c r="C512" t="s">
        <v>343</v>
      </c>
      <c r="D512" t="s">
        <v>33</v>
      </c>
      <c r="E512" s="1">
        <v>46079</v>
      </c>
      <c r="F512" s="1"/>
      <c r="G512" s="1"/>
      <c r="H512">
        <v>7000</v>
      </c>
      <c r="I512" t="s">
        <v>76</v>
      </c>
      <c r="J512">
        <v>0</v>
      </c>
      <c r="K512">
        <v>0</v>
      </c>
    </row>
    <row r="513" spans="1:11" x14ac:dyDescent="0.3">
      <c r="A513" t="s">
        <v>995</v>
      </c>
      <c r="B513" t="s">
        <v>2446</v>
      </c>
      <c r="C513" t="s">
        <v>165</v>
      </c>
      <c r="D513" t="s">
        <v>19</v>
      </c>
      <c r="E513" s="1">
        <v>46135</v>
      </c>
      <c r="F513" s="1">
        <v>46208</v>
      </c>
      <c r="G513" s="1"/>
      <c r="H513">
        <v>5200</v>
      </c>
      <c r="I513" t="s">
        <v>12</v>
      </c>
      <c r="J513">
        <v>2</v>
      </c>
      <c r="K513">
        <v>10400</v>
      </c>
    </row>
    <row r="514" spans="1:11" x14ac:dyDescent="0.3">
      <c r="A514" t="s">
        <v>997</v>
      </c>
      <c r="B514" t="s">
        <v>4452</v>
      </c>
      <c r="C514" t="s">
        <v>326</v>
      </c>
      <c r="D514" t="s">
        <v>19</v>
      </c>
      <c r="E514" s="1">
        <v>46092</v>
      </c>
      <c r="F514" s="1"/>
      <c r="G514" s="1"/>
      <c r="H514">
        <v>4000</v>
      </c>
      <c r="I514" t="s">
        <v>76</v>
      </c>
      <c r="J514">
        <v>0</v>
      </c>
      <c r="K514">
        <v>0</v>
      </c>
    </row>
    <row r="515" spans="1:11" x14ac:dyDescent="0.3">
      <c r="A515" t="s">
        <v>999</v>
      </c>
      <c r="B515" t="s">
        <v>1970</v>
      </c>
      <c r="C515" t="s">
        <v>222</v>
      </c>
      <c r="D515" t="s">
        <v>19</v>
      </c>
      <c r="E515" s="1">
        <v>46037</v>
      </c>
      <c r="F515" s="1"/>
      <c r="G515" s="1"/>
      <c r="H515">
        <v>5200</v>
      </c>
      <c r="I515" t="s">
        <v>76</v>
      </c>
      <c r="J515">
        <v>0</v>
      </c>
      <c r="K515">
        <v>0</v>
      </c>
    </row>
    <row r="516" spans="1:11" x14ac:dyDescent="0.3">
      <c r="A516" t="s">
        <v>6098</v>
      </c>
      <c r="B516" t="s">
        <v>1611</v>
      </c>
      <c r="C516" t="s">
        <v>343</v>
      </c>
      <c r="D516" t="s">
        <v>223</v>
      </c>
      <c r="E516" s="1">
        <v>46050</v>
      </c>
      <c r="F516" s="1">
        <v>46109</v>
      </c>
      <c r="G516" s="1">
        <v>46115</v>
      </c>
      <c r="H516">
        <v>7000</v>
      </c>
      <c r="I516" t="s">
        <v>38</v>
      </c>
      <c r="J516">
        <v>6</v>
      </c>
      <c r="K516">
        <v>42000</v>
      </c>
    </row>
    <row r="517" spans="1:11" x14ac:dyDescent="0.3">
      <c r="A517" t="s">
        <v>1001</v>
      </c>
      <c r="B517" t="s">
        <v>1997</v>
      </c>
      <c r="C517" t="s">
        <v>294</v>
      </c>
      <c r="D517" t="s">
        <v>11</v>
      </c>
      <c r="E517" s="1">
        <v>46042</v>
      </c>
      <c r="F517" s="1">
        <v>46077</v>
      </c>
      <c r="G517" s="1"/>
      <c r="H517">
        <v>6400</v>
      </c>
      <c r="I517" t="s">
        <v>12</v>
      </c>
      <c r="J517">
        <v>6</v>
      </c>
      <c r="K517">
        <v>38400</v>
      </c>
    </row>
    <row r="518" spans="1:11" x14ac:dyDescent="0.3">
      <c r="A518" t="s">
        <v>1003</v>
      </c>
      <c r="B518" t="s">
        <v>3070</v>
      </c>
      <c r="C518" t="s">
        <v>29</v>
      </c>
      <c r="D518" t="s">
        <v>11</v>
      </c>
      <c r="E518" s="1">
        <v>46100</v>
      </c>
      <c r="F518" s="1">
        <v>46130</v>
      </c>
      <c r="G518" s="1"/>
      <c r="H518">
        <v>5000</v>
      </c>
      <c r="I518" t="s">
        <v>12</v>
      </c>
      <c r="J518">
        <v>1</v>
      </c>
      <c r="K518">
        <v>5000</v>
      </c>
    </row>
    <row r="519" spans="1:11" x14ac:dyDescent="0.3">
      <c r="A519" t="s">
        <v>1005</v>
      </c>
      <c r="B519" t="s">
        <v>1493</v>
      </c>
      <c r="C519" t="s">
        <v>366</v>
      </c>
      <c r="D519" t="s">
        <v>19</v>
      </c>
      <c r="E519" s="1">
        <v>46125</v>
      </c>
      <c r="F519" s="1">
        <v>46142</v>
      </c>
      <c r="G519" s="1"/>
      <c r="H519">
        <v>7700</v>
      </c>
      <c r="I519" t="s">
        <v>12</v>
      </c>
      <c r="J519">
        <v>6</v>
      </c>
      <c r="K519">
        <v>46200</v>
      </c>
    </row>
    <row r="520" spans="1:11" x14ac:dyDescent="0.3">
      <c r="A520" t="s">
        <v>1007</v>
      </c>
      <c r="B520" t="s">
        <v>2860</v>
      </c>
      <c r="C520" t="s">
        <v>29</v>
      </c>
      <c r="D520" t="s">
        <v>33</v>
      </c>
      <c r="E520" s="1">
        <v>46144</v>
      </c>
      <c r="F520" s="1">
        <v>46190</v>
      </c>
      <c r="G520" s="1"/>
      <c r="H520">
        <v>5000</v>
      </c>
      <c r="I520" t="s">
        <v>12</v>
      </c>
      <c r="J520">
        <v>2</v>
      </c>
      <c r="K520">
        <v>10000</v>
      </c>
    </row>
    <row r="521" spans="1:11" x14ac:dyDescent="0.3">
      <c r="A521" t="s">
        <v>1009</v>
      </c>
      <c r="B521" t="s">
        <v>4141</v>
      </c>
      <c r="C521" t="s">
        <v>294</v>
      </c>
      <c r="D521" t="s">
        <v>237</v>
      </c>
      <c r="E521" s="1">
        <v>46062</v>
      </c>
      <c r="F521" s="1">
        <v>46070</v>
      </c>
      <c r="G521" s="1">
        <v>46072</v>
      </c>
      <c r="H521">
        <v>6400</v>
      </c>
      <c r="I521" t="s">
        <v>38</v>
      </c>
      <c r="J521">
        <v>2</v>
      </c>
      <c r="K521">
        <v>12800</v>
      </c>
    </row>
    <row r="522" spans="1:11" x14ac:dyDescent="0.3">
      <c r="A522" t="s">
        <v>1011</v>
      </c>
      <c r="B522" t="s">
        <v>4045</v>
      </c>
      <c r="C522" t="s">
        <v>326</v>
      </c>
      <c r="D522" t="s">
        <v>223</v>
      </c>
      <c r="E522" s="1">
        <v>46197</v>
      </c>
      <c r="F522" s="1">
        <v>46231</v>
      </c>
      <c r="G522" s="1">
        <v>46237</v>
      </c>
      <c r="H522">
        <v>4000</v>
      </c>
      <c r="I522" t="s">
        <v>38</v>
      </c>
      <c r="J522">
        <v>6</v>
      </c>
      <c r="K522">
        <v>24000</v>
      </c>
    </row>
    <row r="523" spans="1:11" x14ac:dyDescent="0.3">
      <c r="A523" t="s">
        <v>1013</v>
      </c>
      <c r="B523" t="s">
        <v>353</v>
      </c>
      <c r="C523" t="s">
        <v>146</v>
      </c>
      <c r="D523" t="s">
        <v>26</v>
      </c>
      <c r="E523" s="1">
        <v>46130</v>
      </c>
      <c r="F523" s="1">
        <v>46141</v>
      </c>
      <c r="G523" s="1"/>
      <c r="H523">
        <v>4700</v>
      </c>
      <c r="I523" t="s">
        <v>12</v>
      </c>
      <c r="J523">
        <v>4</v>
      </c>
      <c r="K523">
        <v>18800</v>
      </c>
    </row>
    <row r="524" spans="1:11" x14ac:dyDescent="0.3">
      <c r="A524" t="s">
        <v>6099</v>
      </c>
      <c r="B524" t="s">
        <v>3007</v>
      </c>
      <c r="C524" t="s">
        <v>175</v>
      </c>
      <c r="D524" t="s">
        <v>33</v>
      </c>
      <c r="E524" s="1">
        <v>46153</v>
      </c>
      <c r="F524" s="1">
        <v>46236</v>
      </c>
      <c r="G524" s="1"/>
      <c r="H524">
        <v>6200</v>
      </c>
      <c r="I524" t="s">
        <v>12</v>
      </c>
      <c r="J524">
        <v>2</v>
      </c>
      <c r="K524">
        <v>12400</v>
      </c>
    </row>
    <row r="525" spans="1:11" x14ac:dyDescent="0.3">
      <c r="A525" t="s">
        <v>1015</v>
      </c>
      <c r="B525" t="s">
        <v>3287</v>
      </c>
      <c r="C525" t="s">
        <v>214</v>
      </c>
      <c r="D525" t="s">
        <v>11</v>
      </c>
      <c r="E525" s="1">
        <v>46176</v>
      </c>
      <c r="F525" s="1"/>
      <c r="G525" s="1"/>
      <c r="H525">
        <v>4000</v>
      </c>
      <c r="I525" t="s">
        <v>76</v>
      </c>
      <c r="J525">
        <v>0</v>
      </c>
      <c r="K525">
        <v>0</v>
      </c>
    </row>
    <row r="526" spans="1:11" x14ac:dyDescent="0.3">
      <c r="A526" t="s">
        <v>1017</v>
      </c>
      <c r="B526" t="s">
        <v>275</v>
      </c>
      <c r="C526" t="s">
        <v>125</v>
      </c>
      <c r="D526" t="s">
        <v>19</v>
      </c>
      <c r="E526" s="1">
        <v>46153</v>
      </c>
      <c r="F526" s="1">
        <v>46186</v>
      </c>
      <c r="G526" s="1"/>
      <c r="H526">
        <v>4800</v>
      </c>
      <c r="I526" t="s">
        <v>12</v>
      </c>
      <c r="J526">
        <v>4</v>
      </c>
      <c r="K526">
        <v>19200</v>
      </c>
    </row>
    <row r="527" spans="1:11" x14ac:dyDescent="0.3">
      <c r="A527" t="s">
        <v>1019</v>
      </c>
      <c r="B527" t="s">
        <v>2620</v>
      </c>
      <c r="C527" t="s">
        <v>98</v>
      </c>
      <c r="D527" t="s">
        <v>11</v>
      </c>
      <c r="E527" s="1">
        <v>46032</v>
      </c>
      <c r="F527" s="1">
        <v>46118</v>
      </c>
      <c r="G527" s="1"/>
      <c r="H527">
        <v>6700</v>
      </c>
      <c r="I527" t="s">
        <v>12</v>
      </c>
      <c r="J527">
        <v>4</v>
      </c>
      <c r="K527">
        <v>26800</v>
      </c>
    </row>
    <row r="528" spans="1:11" x14ac:dyDescent="0.3">
      <c r="A528" t="s">
        <v>1021</v>
      </c>
      <c r="B528" t="s">
        <v>3454</v>
      </c>
      <c r="C528" t="s">
        <v>240</v>
      </c>
      <c r="D528" t="s">
        <v>33</v>
      </c>
      <c r="E528" s="1">
        <v>46086</v>
      </c>
      <c r="F528" s="1">
        <v>46149</v>
      </c>
      <c r="G528" s="1"/>
      <c r="H528">
        <v>5400</v>
      </c>
      <c r="I528" t="s">
        <v>12</v>
      </c>
      <c r="J528">
        <v>1</v>
      </c>
      <c r="K528">
        <v>5400</v>
      </c>
    </row>
    <row r="529" spans="1:11" x14ac:dyDescent="0.3">
      <c r="A529" t="s">
        <v>6100</v>
      </c>
      <c r="B529" t="s">
        <v>3554</v>
      </c>
      <c r="C529" t="s">
        <v>106</v>
      </c>
      <c r="D529" t="s">
        <v>33</v>
      </c>
      <c r="E529" s="1">
        <v>46140</v>
      </c>
      <c r="F529" s="1">
        <v>46177</v>
      </c>
      <c r="G529" s="1"/>
      <c r="H529">
        <v>4300</v>
      </c>
      <c r="I529" t="s">
        <v>12</v>
      </c>
      <c r="J529">
        <v>5</v>
      </c>
      <c r="K529">
        <v>21500</v>
      </c>
    </row>
    <row r="530" spans="1:11" x14ac:dyDescent="0.3">
      <c r="A530" t="s">
        <v>6101</v>
      </c>
      <c r="B530" t="s">
        <v>2511</v>
      </c>
      <c r="C530" t="s">
        <v>222</v>
      </c>
      <c r="D530" t="s">
        <v>19</v>
      </c>
      <c r="E530" s="1">
        <v>46027</v>
      </c>
      <c r="F530" s="1">
        <v>46045</v>
      </c>
      <c r="G530" s="1"/>
      <c r="H530">
        <v>5200</v>
      </c>
      <c r="I530" t="s">
        <v>12</v>
      </c>
      <c r="J530">
        <v>2</v>
      </c>
      <c r="K530">
        <v>10400</v>
      </c>
    </row>
    <row r="531" spans="1:11" x14ac:dyDescent="0.3">
      <c r="A531" t="s">
        <v>1023</v>
      </c>
      <c r="B531" t="s">
        <v>1788</v>
      </c>
      <c r="C531" t="s">
        <v>245</v>
      </c>
      <c r="D531" t="s">
        <v>19</v>
      </c>
      <c r="E531" s="1">
        <v>46073</v>
      </c>
      <c r="F531" s="1">
        <v>46127</v>
      </c>
      <c r="G531" s="1"/>
      <c r="H531">
        <v>8300</v>
      </c>
      <c r="I531" t="s">
        <v>12</v>
      </c>
      <c r="J531">
        <v>2</v>
      </c>
      <c r="K531">
        <v>16600</v>
      </c>
    </row>
    <row r="532" spans="1:11" x14ac:dyDescent="0.3">
      <c r="A532" t="s">
        <v>1025</v>
      </c>
      <c r="B532" t="s">
        <v>1378</v>
      </c>
      <c r="C532" t="s">
        <v>67</v>
      </c>
      <c r="D532" t="s">
        <v>26</v>
      </c>
      <c r="E532" s="1">
        <v>46049</v>
      </c>
      <c r="F532" s="1">
        <v>46128</v>
      </c>
      <c r="G532" s="1"/>
      <c r="H532">
        <v>9000</v>
      </c>
      <c r="I532" t="s">
        <v>12</v>
      </c>
      <c r="J532">
        <v>2</v>
      </c>
      <c r="K532">
        <v>18000</v>
      </c>
    </row>
    <row r="533" spans="1:11" x14ac:dyDescent="0.3">
      <c r="A533" t="s">
        <v>1027</v>
      </c>
      <c r="B533" t="s">
        <v>1725</v>
      </c>
      <c r="C533" t="s">
        <v>258</v>
      </c>
      <c r="D533" t="s">
        <v>33</v>
      </c>
      <c r="E533" s="1">
        <v>46199</v>
      </c>
      <c r="F533" s="1">
        <v>46244</v>
      </c>
      <c r="G533" s="1"/>
      <c r="H533">
        <v>4700</v>
      </c>
      <c r="I533" t="s">
        <v>12</v>
      </c>
      <c r="J533">
        <v>7</v>
      </c>
      <c r="K533">
        <v>32900</v>
      </c>
    </row>
    <row r="534" spans="1:11" x14ac:dyDescent="0.3">
      <c r="A534" t="s">
        <v>6102</v>
      </c>
      <c r="B534" t="s">
        <v>2100</v>
      </c>
      <c r="C534" t="s">
        <v>87</v>
      </c>
      <c r="D534" t="s">
        <v>11</v>
      </c>
      <c r="E534" s="1">
        <v>46050</v>
      </c>
      <c r="F534" s="1">
        <v>46082</v>
      </c>
      <c r="G534" s="1"/>
      <c r="H534">
        <v>5000</v>
      </c>
      <c r="I534" t="s">
        <v>12</v>
      </c>
      <c r="J534">
        <v>2</v>
      </c>
      <c r="K534">
        <v>10000</v>
      </c>
    </row>
    <row r="535" spans="1:11" x14ac:dyDescent="0.3">
      <c r="A535" t="s">
        <v>1029</v>
      </c>
      <c r="B535" t="s">
        <v>3566</v>
      </c>
      <c r="C535" t="s">
        <v>477</v>
      </c>
      <c r="D535" t="s">
        <v>42</v>
      </c>
      <c r="E535" s="1">
        <v>46087</v>
      </c>
      <c r="F535" s="1">
        <v>46101</v>
      </c>
      <c r="G535" s="1">
        <v>46102</v>
      </c>
      <c r="H535">
        <v>8000</v>
      </c>
      <c r="I535" t="s">
        <v>38</v>
      </c>
      <c r="J535">
        <v>1</v>
      </c>
      <c r="K535">
        <v>8000</v>
      </c>
    </row>
    <row r="536" spans="1:11" x14ac:dyDescent="0.3">
      <c r="A536" t="s">
        <v>1031</v>
      </c>
      <c r="B536" t="s">
        <v>3345</v>
      </c>
      <c r="C536" t="s">
        <v>125</v>
      </c>
      <c r="D536" t="s">
        <v>33</v>
      </c>
      <c r="E536" s="1">
        <v>46138</v>
      </c>
      <c r="F536" s="1">
        <v>46178</v>
      </c>
      <c r="G536" s="1"/>
      <c r="H536">
        <v>4800</v>
      </c>
      <c r="I536" t="s">
        <v>12</v>
      </c>
      <c r="J536">
        <v>2</v>
      </c>
      <c r="K536">
        <v>9600</v>
      </c>
    </row>
    <row r="537" spans="1:11" x14ac:dyDescent="0.3">
      <c r="A537" t="s">
        <v>1033</v>
      </c>
      <c r="B537" t="s">
        <v>980</v>
      </c>
      <c r="C537" t="s">
        <v>10</v>
      </c>
      <c r="D537" t="s">
        <v>19</v>
      </c>
      <c r="E537" s="1">
        <v>46190</v>
      </c>
      <c r="F537" s="1">
        <v>46269</v>
      </c>
      <c r="G537" s="1"/>
      <c r="H537">
        <v>6700</v>
      </c>
      <c r="I537" t="s">
        <v>12</v>
      </c>
      <c r="J537">
        <v>5</v>
      </c>
      <c r="K537">
        <v>33500</v>
      </c>
    </row>
    <row r="538" spans="1:11" x14ac:dyDescent="0.3">
      <c r="A538" t="s">
        <v>6103</v>
      </c>
      <c r="B538" t="s">
        <v>3011</v>
      </c>
      <c r="C538" t="s">
        <v>343</v>
      </c>
      <c r="D538" t="s">
        <v>33</v>
      </c>
      <c r="E538" s="1">
        <v>46031</v>
      </c>
      <c r="F538" s="1">
        <v>46053</v>
      </c>
      <c r="G538" s="1"/>
      <c r="H538">
        <v>7000</v>
      </c>
      <c r="I538" t="s">
        <v>12</v>
      </c>
      <c r="J538">
        <v>2</v>
      </c>
      <c r="K538">
        <v>14000</v>
      </c>
    </row>
    <row r="539" spans="1:11" x14ac:dyDescent="0.3">
      <c r="A539" t="s">
        <v>1035</v>
      </c>
      <c r="B539" t="s">
        <v>4380</v>
      </c>
      <c r="C539" t="s">
        <v>228</v>
      </c>
      <c r="D539" t="s">
        <v>48</v>
      </c>
      <c r="E539" s="1">
        <v>46048</v>
      </c>
      <c r="F539" s="1">
        <v>46102</v>
      </c>
      <c r="G539" s="1">
        <v>46107</v>
      </c>
      <c r="H539">
        <v>7200</v>
      </c>
      <c r="I539" t="s">
        <v>38</v>
      </c>
      <c r="J539">
        <v>5</v>
      </c>
      <c r="K539">
        <v>36000</v>
      </c>
    </row>
    <row r="540" spans="1:11" x14ac:dyDescent="0.3">
      <c r="A540" t="s">
        <v>6104</v>
      </c>
      <c r="B540" t="s">
        <v>1665</v>
      </c>
      <c r="C540" t="s">
        <v>10</v>
      </c>
      <c r="D540" t="s">
        <v>11</v>
      </c>
      <c r="E540" s="1">
        <v>46033</v>
      </c>
      <c r="F540" s="1">
        <v>46056</v>
      </c>
      <c r="G540" s="1"/>
      <c r="H540">
        <v>6700</v>
      </c>
      <c r="I540" t="s">
        <v>12</v>
      </c>
      <c r="J540">
        <v>2</v>
      </c>
      <c r="K540">
        <v>13400</v>
      </c>
    </row>
    <row r="541" spans="1:11" x14ac:dyDescent="0.3">
      <c r="A541" t="s">
        <v>1037</v>
      </c>
      <c r="B541" t="s">
        <v>1142</v>
      </c>
      <c r="C541" t="s">
        <v>122</v>
      </c>
      <c r="D541" t="s">
        <v>33</v>
      </c>
      <c r="E541" s="1">
        <v>46072</v>
      </c>
      <c r="F541" s="1">
        <v>46129</v>
      </c>
      <c r="G541" s="1"/>
      <c r="H541">
        <v>6900</v>
      </c>
      <c r="I541" t="s">
        <v>12</v>
      </c>
      <c r="J541">
        <v>6</v>
      </c>
      <c r="K541">
        <v>41400</v>
      </c>
    </row>
    <row r="542" spans="1:11" x14ac:dyDescent="0.3">
      <c r="A542" t="s">
        <v>1039</v>
      </c>
      <c r="B542" t="s">
        <v>1080</v>
      </c>
      <c r="C542" t="s">
        <v>45</v>
      </c>
      <c r="D542" t="s">
        <v>19</v>
      </c>
      <c r="E542" s="1">
        <v>46028</v>
      </c>
      <c r="F542" s="1">
        <v>46055</v>
      </c>
      <c r="G542" s="1"/>
      <c r="H542">
        <v>7700</v>
      </c>
      <c r="I542" t="s">
        <v>12</v>
      </c>
      <c r="J542">
        <v>7</v>
      </c>
      <c r="K542">
        <v>53900</v>
      </c>
    </row>
    <row r="543" spans="1:11" x14ac:dyDescent="0.3">
      <c r="A543" t="s">
        <v>1041</v>
      </c>
      <c r="B543" t="s">
        <v>2093</v>
      </c>
      <c r="C543" t="s">
        <v>258</v>
      </c>
      <c r="D543" t="s">
        <v>26</v>
      </c>
      <c r="E543" s="1">
        <v>46146</v>
      </c>
      <c r="F543" s="1">
        <v>46219</v>
      </c>
      <c r="G543" s="1"/>
      <c r="H543">
        <v>4700</v>
      </c>
      <c r="I543" t="s">
        <v>12</v>
      </c>
      <c r="J543">
        <v>6</v>
      </c>
      <c r="K543">
        <v>28200</v>
      </c>
    </row>
    <row r="544" spans="1:11" x14ac:dyDescent="0.3">
      <c r="A544" t="s">
        <v>6105</v>
      </c>
      <c r="B544" t="s">
        <v>1014</v>
      </c>
      <c r="C544" t="s">
        <v>73</v>
      </c>
      <c r="D544" t="s">
        <v>33</v>
      </c>
      <c r="E544" s="1">
        <v>46044</v>
      </c>
      <c r="F544" s="1">
        <v>46069</v>
      </c>
      <c r="G544" s="1"/>
      <c r="H544">
        <v>7800</v>
      </c>
      <c r="I544" t="s">
        <v>12</v>
      </c>
      <c r="J544">
        <v>3</v>
      </c>
      <c r="K544">
        <v>23400</v>
      </c>
    </row>
    <row r="545" spans="1:11" x14ac:dyDescent="0.3">
      <c r="A545" t="s">
        <v>1043</v>
      </c>
      <c r="B545" t="s">
        <v>2188</v>
      </c>
      <c r="C545" t="s">
        <v>343</v>
      </c>
      <c r="D545" t="s">
        <v>33</v>
      </c>
      <c r="E545" s="1">
        <v>46179</v>
      </c>
      <c r="F545" s="1">
        <v>46255</v>
      </c>
      <c r="G545" s="1"/>
      <c r="H545">
        <v>7000</v>
      </c>
      <c r="I545" t="s">
        <v>12</v>
      </c>
      <c r="J545">
        <v>4</v>
      </c>
      <c r="K545">
        <v>28000</v>
      </c>
    </row>
    <row r="546" spans="1:11" x14ac:dyDescent="0.3">
      <c r="A546" t="s">
        <v>6106</v>
      </c>
      <c r="B546" t="s">
        <v>3259</v>
      </c>
      <c r="C546" t="s">
        <v>125</v>
      </c>
      <c r="D546" t="s">
        <v>33</v>
      </c>
      <c r="E546" s="1">
        <v>46168</v>
      </c>
      <c r="F546" s="1">
        <v>46230</v>
      </c>
      <c r="G546" s="1"/>
      <c r="H546">
        <v>4800</v>
      </c>
      <c r="I546" t="s">
        <v>12</v>
      </c>
      <c r="J546">
        <v>6</v>
      </c>
      <c r="K546">
        <v>28800</v>
      </c>
    </row>
    <row r="547" spans="1:11" x14ac:dyDescent="0.3">
      <c r="A547" t="s">
        <v>1045</v>
      </c>
      <c r="B547" t="s">
        <v>4185</v>
      </c>
      <c r="C547" t="s">
        <v>112</v>
      </c>
      <c r="D547" t="s">
        <v>95</v>
      </c>
      <c r="E547" s="1">
        <v>46127</v>
      </c>
      <c r="F547" s="1">
        <v>46128</v>
      </c>
      <c r="G547" s="1"/>
      <c r="H547">
        <v>4800</v>
      </c>
      <c r="I547" t="s">
        <v>49</v>
      </c>
      <c r="J547">
        <v>2</v>
      </c>
      <c r="K547">
        <v>9600</v>
      </c>
    </row>
    <row r="548" spans="1:11" x14ac:dyDescent="0.3">
      <c r="A548" t="s">
        <v>1047</v>
      </c>
      <c r="B548" t="s">
        <v>2776</v>
      </c>
      <c r="C548" t="s">
        <v>168</v>
      </c>
      <c r="D548" t="s">
        <v>33</v>
      </c>
      <c r="E548" s="1">
        <v>46066</v>
      </c>
      <c r="F548" s="1">
        <v>46149</v>
      </c>
      <c r="G548" s="1"/>
      <c r="H548">
        <v>4300</v>
      </c>
      <c r="I548" t="s">
        <v>12</v>
      </c>
      <c r="J548">
        <v>3</v>
      </c>
      <c r="K548">
        <v>12900</v>
      </c>
    </row>
    <row r="549" spans="1:11" x14ac:dyDescent="0.3">
      <c r="A549" t="s">
        <v>6107</v>
      </c>
      <c r="B549" t="s">
        <v>3206</v>
      </c>
      <c r="C549" t="s">
        <v>130</v>
      </c>
      <c r="D549" t="s">
        <v>33</v>
      </c>
      <c r="E549" s="1">
        <v>46081</v>
      </c>
      <c r="F549" s="1">
        <v>46149</v>
      </c>
      <c r="G549" s="1"/>
      <c r="H549">
        <v>6400</v>
      </c>
      <c r="I549" t="s">
        <v>12</v>
      </c>
      <c r="J549">
        <v>7</v>
      </c>
      <c r="K549">
        <v>44800</v>
      </c>
    </row>
    <row r="550" spans="1:11" x14ac:dyDescent="0.3">
      <c r="A550" t="s">
        <v>6108</v>
      </c>
      <c r="B550" t="s">
        <v>2450</v>
      </c>
      <c r="C550" t="s">
        <v>162</v>
      </c>
      <c r="D550" t="s">
        <v>237</v>
      </c>
      <c r="E550" s="1">
        <v>46053</v>
      </c>
      <c r="F550" s="1">
        <v>46101</v>
      </c>
      <c r="G550" s="1">
        <v>46108</v>
      </c>
      <c r="H550">
        <v>8300</v>
      </c>
      <c r="I550" t="s">
        <v>38</v>
      </c>
      <c r="J550">
        <v>7</v>
      </c>
      <c r="K550">
        <v>58100</v>
      </c>
    </row>
    <row r="551" spans="1:11" x14ac:dyDescent="0.3">
      <c r="A551" t="s">
        <v>6109</v>
      </c>
      <c r="B551" t="s">
        <v>44</v>
      </c>
      <c r="C551" t="s">
        <v>18</v>
      </c>
      <c r="D551" t="s">
        <v>19</v>
      </c>
      <c r="E551" s="1">
        <v>46063</v>
      </c>
      <c r="F551" s="1">
        <v>46094</v>
      </c>
      <c r="G551" s="1"/>
      <c r="H551">
        <v>6900</v>
      </c>
      <c r="I551" t="s">
        <v>12</v>
      </c>
      <c r="J551">
        <v>6</v>
      </c>
      <c r="K551">
        <v>41400</v>
      </c>
    </row>
    <row r="552" spans="1:11" x14ac:dyDescent="0.3">
      <c r="A552" t="s">
        <v>1049</v>
      </c>
      <c r="B552" t="s">
        <v>3156</v>
      </c>
      <c r="C552" t="s">
        <v>407</v>
      </c>
      <c r="D552" t="s">
        <v>37</v>
      </c>
      <c r="E552" s="1">
        <v>46186</v>
      </c>
      <c r="F552" s="1">
        <v>46231</v>
      </c>
      <c r="G552" s="1">
        <v>46234</v>
      </c>
      <c r="H552">
        <v>8000</v>
      </c>
      <c r="I552" t="s">
        <v>38</v>
      </c>
      <c r="J552">
        <v>3</v>
      </c>
      <c r="K552">
        <v>24000</v>
      </c>
    </row>
    <row r="553" spans="1:11" x14ac:dyDescent="0.3">
      <c r="A553" t="s">
        <v>1051</v>
      </c>
      <c r="B553" t="s">
        <v>2017</v>
      </c>
      <c r="C553" t="s">
        <v>29</v>
      </c>
      <c r="D553" t="s">
        <v>33</v>
      </c>
      <c r="E553" s="1">
        <v>46105</v>
      </c>
      <c r="F553" s="1">
        <v>46151</v>
      </c>
      <c r="G553" s="1"/>
      <c r="H553">
        <v>5000</v>
      </c>
      <c r="I553" t="s">
        <v>12</v>
      </c>
      <c r="J553">
        <v>3</v>
      </c>
      <c r="K553">
        <v>15000</v>
      </c>
    </row>
    <row r="554" spans="1:11" x14ac:dyDescent="0.3">
      <c r="A554" t="s">
        <v>1053</v>
      </c>
      <c r="B554" t="s">
        <v>733</v>
      </c>
      <c r="C554" t="s">
        <v>10</v>
      </c>
      <c r="D554" t="s">
        <v>11</v>
      </c>
      <c r="E554" s="1">
        <v>46051</v>
      </c>
      <c r="F554" s="1">
        <v>46086</v>
      </c>
      <c r="G554" s="1"/>
      <c r="H554">
        <v>6700</v>
      </c>
      <c r="I554" t="s">
        <v>12</v>
      </c>
      <c r="J554">
        <v>2</v>
      </c>
      <c r="K554">
        <v>13400</v>
      </c>
    </row>
    <row r="555" spans="1:11" x14ac:dyDescent="0.3">
      <c r="A555" t="s">
        <v>1055</v>
      </c>
      <c r="B555" t="s">
        <v>1691</v>
      </c>
      <c r="C555" t="s">
        <v>146</v>
      </c>
      <c r="D555" t="s">
        <v>26</v>
      </c>
      <c r="E555" s="1">
        <v>46079</v>
      </c>
      <c r="F555" s="1">
        <v>46137</v>
      </c>
      <c r="G555" s="1"/>
      <c r="H555">
        <v>4700</v>
      </c>
      <c r="I555" t="s">
        <v>12</v>
      </c>
      <c r="J555">
        <v>6</v>
      </c>
      <c r="K555">
        <v>28200</v>
      </c>
    </row>
    <row r="556" spans="1:11" x14ac:dyDescent="0.3">
      <c r="A556" t="s">
        <v>1057</v>
      </c>
      <c r="B556" t="s">
        <v>562</v>
      </c>
      <c r="C556" t="s">
        <v>165</v>
      </c>
      <c r="D556" t="s">
        <v>19</v>
      </c>
      <c r="E556" s="1">
        <v>46113</v>
      </c>
      <c r="F556" s="1">
        <v>46130</v>
      </c>
      <c r="G556" s="1"/>
      <c r="H556">
        <v>5200</v>
      </c>
      <c r="I556" t="s">
        <v>12</v>
      </c>
      <c r="J556">
        <v>6</v>
      </c>
      <c r="K556">
        <v>31200</v>
      </c>
    </row>
    <row r="557" spans="1:11" x14ac:dyDescent="0.3">
      <c r="A557" t="s">
        <v>1059</v>
      </c>
      <c r="B557" t="s">
        <v>1240</v>
      </c>
      <c r="C557" t="s">
        <v>81</v>
      </c>
      <c r="D557" t="s">
        <v>11</v>
      </c>
      <c r="E557" s="1">
        <v>46087</v>
      </c>
      <c r="F557" s="1">
        <v>46146</v>
      </c>
      <c r="G557" s="1"/>
      <c r="H557">
        <v>4200</v>
      </c>
      <c r="I557" t="s">
        <v>12</v>
      </c>
      <c r="J557">
        <v>7</v>
      </c>
      <c r="K557">
        <v>29400</v>
      </c>
    </row>
    <row r="558" spans="1:11" x14ac:dyDescent="0.3">
      <c r="A558" t="s">
        <v>1061</v>
      </c>
      <c r="B558" t="s">
        <v>353</v>
      </c>
      <c r="C558" t="s">
        <v>488</v>
      </c>
      <c r="D558" t="s">
        <v>58</v>
      </c>
      <c r="E558" s="1">
        <v>46136</v>
      </c>
      <c r="F558" s="1">
        <v>46192</v>
      </c>
      <c r="G558" s="1">
        <v>46197</v>
      </c>
      <c r="H558">
        <v>4500</v>
      </c>
      <c r="I558" t="s">
        <v>38</v>
      </c>
      <c r="J558">
        <v>5</v>
      </c>
      <c r="K558">
        <v>22500</v>
      </c>
    </row>
    <row r="559" spans="1:11" x14ac:dyDescent="0.3">
      <c r="A559" t="s">
        <v>1063</v>
      </c>
      <c r="B559" t="s">
        <v>3033</v>
      </c>
      <c r="C559" t="s">
        <v>119</v>
      </c>
      <c r="D559" t="s">
        <v>33</v>
      </c>
      <c r="E559" s="1">
        <v>46151</v>
      </c>
      <c r="F559" s="1"/>
      <c r="G559" s="1"/>
      <c r="H559">
        <v>4700</v>
      </c>
      <c r="I559" t="s">
        <v>76</v>
      </c>
      <c r="J559">
        <v>0</v>
      </c>
      <c r="K559">
        <v>0</v>
      </c>
    </row>
    <row r="560" spans="1:11" x14ac:dyDescent="0.3">
      <c r="A560" t="s">
        <v>1065</v>
      </c>
      <c r="B560" t="s">
        <v>3411</v>
      </c>
      <c r="C560" t="s">
        <v>711</v>
      </c>
      <c r="D560" t="s">
        <v>237</v>
      </c>
      <c r="E560" s="1">
        <v>46052</v>
      </c>
      <c r="F560" s="1">
        <v>46103</v>
      </c>
      <c r="G560" s="1">
        <v>46104</v>
      </c>
      <c r="H560">
        <v>7000</v>
      </c>
      <c r="I560" t="s">
        <v>38</v>
      </c>
      <c r="J560">
        <v>1</v>
      </c>
      <c r="K560">
        <v>7000</v>
      </c>
    </row>
    <row r="561" spans="1:11" x14ac:dyDescent="0.3">
      <c r="A561" t="s">
        <v>1067</v>
      </c>
      <c r="B561" t="s">
        <v>1204</v>
      </c>
      <c r="C561" t="s">
        <v>294</v>
      </c>
      <c r="D561" t="s">
        <v>26</v>
      </c>
      <c r="E561" s="1">
        <v>46135</v>
      </c>
      <c r="F561" s="1">
        <v>46168</v>
      </c>
      <c r="G561" s="1"/>
      <c r="H561">
        <v>6400</v>
      </c>
      <c r="I561" t="s">
        <v>12</v>
      </c>
      <c r="J561">
        <v>6</v>
      </c>
      <c r="K561">
        <v>38400</v>
      </c>
    </row>
    <row r="562" spans="1:11" x14ac:dyDescent="0.3">
      <c r="A562" t="s">
        <v>6110</v>
      </c>
      <c r="B562" t="s">
        <v>700</v>
      </c>
      <c r="C562" t="s">
        <v>64</v>
      </c>
      <c r="D562" t="s">
        <v>26</v>
      </c>
      <c r="E562" s="1">
        <v>46134</v>
      </c>
      <c r="F562" s="1">
        <v>46184</v>
      </c>
      <c r="G562" s="1"/>
      <c r="H562">
        <v>4700</v>
      </c>
      <c r="I562" t="s">
        <v>12</v>
      </c>
      <c r="J562">
        <v>3</v>
      </c>
      <c r="K562">
        <v>14100</v>
      </c>
    </row>
    <row r="563" spans="1:11" x14ac:dyDescent="0.3">
      <c r="A563" t="s">
        <v>6111</v>
      </c>
      <c r="B563" t="s">
        <v>4038</v>
      </c>
      <c r="C563" t="s">
        <v>263</v>
      </c>
      <c r="D563" t="s">
        <v>19</v>
      </c>
      <c r="E563" s="1">
        <v>46040</v>
      </c>
      <c r="F563" s="1">
        <v>46074</v>
      </c>
      <c r="G563" s="1"/>
      <c r="H563">
        <v>4800</v>
      </c>
      <c r="I563" t="s">
        <v>12</v>
      </c>
      <c r="J563">
        <v>3</v>
      </c>
      <c r="K563">
        <v>14400</v>
      </c>
    </row>
    <row r="564" spans="1:11" x14ac:dyDescent="0.3">
      <c r="A564" t="s">
        <v>1069</v>
      </c>
      <c r="B564" t="s">
        <v>3509</v>
      </c>
      <c r="C564" t="s">
        <v>106</v>
      </c>
      <c r="D564" t="s">
        <v>58</v>
      </c>
      <c r="E564" s="1">
        <v>46117</v>
      </c>
      <c r="F564" s="1">
        <v>46174</v>
      </c>
      <c r="G564" s="1">
        <v>46177</v>
      </c>
      <c r="H564">
        <v>4300</v>
      </c>
      <c r="I564" t="s">
        <v>38</v>
      </c>
      <c r="J564">
        <v>3</v>
      </c>
      <c r="K564">
        <v>12900</v>
      </c>
    </row>
    <row r="565" spans="1:11" x14ac:dyDescent="0.3">
      <c r="A565" t="s">
        <v>1071</v>
      </c>
      <c r="B565" t="s">
        <v>3301</v>
      </c>
      <c r="C565" t="s">
        <v>25</v>
      </c>
      <c r="D565" t="s">
        <v>48</v>
      </c>
      <c r="E565" s="1">
        <v>46203</v>
      </c>
      <c r="F565" s="1">
        <v>46203</v>
      </c>
      <c r="G565" s="1"/>
      <c r="H565">
        <v>6700</v>
      </c>
      <c r="I565" t="s">
        <v>49</v>
      </c>
      <c r="J565">
        <v>5</v>
      </c>
      <c r="K565">
        <v>33500</v>
      </c>
    </row>
    <row r="566" spans="1:11" x14ac:dyDescent="0.3">
      <c r="A566" t="s">
        <v>1073</v>
      </c>
      <c r="B566" t="s">
        <v>1064</v>
      </c>
      <c r="C566" t="s">
        <v>499</v>
      </c>
      <c r="D566" t="s">
        <v>48</v>
      </c>
      <c r="E566" s="1">
        <v>46168</v>
      </c>
      <c r="F566" s="1">
        <v>46171</v>
      </c>
      <c r="G566" s="1">
        <v>46175</v>
      </c>
      <c r="H566">
        <v>7700</v>
      </c>
      <c r="I566" t="s">
        <v>38</v>
      </c>
      <c r="J566">
        <v>4</v>
      </c>
      <c r="K566">
        <v>30800</v>
      </c>
    </row>
    <row r="567" spans="1:11" x14ac:dyDescent="0.3">
      <c r="A567" t="s">
        <v>1075</v>
      </c>
      <c r="B567" t="s">
        <v>2549</v>
      </c>
      <c r="C567" t="s">
        <v>168</v>
      </c>
      <c r="D567" t="s">
        <v>33</v>
      </c>
      <c r="E567" s="1">
        <v>46161</v>
      </c>
      <c r="F567" s="1">
        <v>46192</v>
      </c>
      <c r="G567" s="1"/>
      <c r="H567">
        <v>4300</v>
      </c>
      <c r="I567" t="s">
        <v>12</v>
      </c>
      <c r="J567">
        <v>1</v>
      </c>
      <c r="K567">
        <v>4300</v>
      </c>
    </row>
    <row r="568" spans="1:11" x14ac:dyDescent="0.3">
      <c r="A568" t="s">
        <v>1077</v>
      </c>
      <c r="B568" t="s">
        <v>3976</v>
      </c>
      <c r="C568" t="s">
        <v>343</v>
      </c>
      <c r="D568" t="s">
        <v>19</v>
      </c>
      <c r="E568" s="1">
        <v>46130</v>
      </c>
      <c r="F568" s="1">
        <v>46184</v>
      </c>
      <c r="G568" s="1"/>
      <c r="H568">
        <v>7000</v>
      </c>
      <c r="I568" t="s">
        <v>12</v>
      </c>
      <c r="J568">
        <v>2</v>
      </c>
      <c r="K568">
        <v>14000</v>
      </c>
    </row>
    <row r="569" spans="1:11" x14ac:dyDescent="0.3">
      <c r="A569" t="s">
        <v>1079</v>
      </c>
      <c r="B569" t="s">
        <v>562</v>
      </c>
      <c r="C569" t="s">
        <v>499</v>
      </c>
      <c r="D569" t="s">
        <v>26</v>
      </c>
      <c r="E569" s="1">
        <v>46164</v>
      </c>
      <c r="F569" s="1">
        <v>46193</v>
      </c>
      <c r="G569" s="1"/>
      <c r="H569">
        <v>7700</v>
      </c>
      <c r="I569" t="s">
        <v>12</v>
      </c>
      <c r="J569">
        <v>7</v>
      </c>
      <c r="K569">
        <v>53900</v>
      </c>
    </row>
    <row r="570" spans="1:11" x14ac:dyDescent="0.3">
      <c r="A570" t="s">
        <v>6112</v>
      </c>
      <c r="B570" t="s">
        <v>612</v>
      </c>
      <c r="C570" t="s">
        <v>152</v>
      </c>
      <c r="D570" t="s">
        <v>26</v>
      </c>
      <c r="E570" s="1">
        <v>46060</v>
      </c>
      <c r="F570" s="1">
        <v>46103</v>
      </c>
      <c r="G570" s="1"/>
      <c r="H570">
        <v>7800</v>
      </c>
      <c r="I570" t="s">
        <v>12</v>
      </c>
      <c r="J570">
        <v>1</v>
      </c>
      <c r="K570">
        <v>7800</v>
      </c>
    </row>
    <row r="571" spans="1:11" x14ac:dyDescent="0.3">
      <c r="A571" t="s">
        <v>1081</v>
      </c>
      <c r="B571" t="s">
        <v>944</v>
      </c>
      <c r="C571" t="s">
        <v>64</v>
      </c>
      <c r="D571" t="s">
        <v>19</v>
      </c>
      <c r="E571" s="1">
        <v>46130</v>
      </c>
      <c r="F571" s="1">
        <v>46160</v>
      </c>
      <c r="G571" s="1"/>
      <c r="H571">
        <v>4700</v>
      </c>
      <c r="I571" t="s">
        <v>12</v>
      </c>
      <c r="J571">
        <v>7</v>
      </c>
      <c r="K571">
        <v>32900</v>
      </c>
    </row>
    <row r="572" spans="1:11" x14ac:dyDescent="0.3">
      <c r="A572" t="s">
        <v>1083</v>
      </c>
      <c r="B572" t="s">
        <v>53</v>
      </c>
      <c r="C572" t="s">
        <v>67</v>
      </c>
      <c r="D572" t="s">
        <v>58</v>
      </c>
      <c r="E572" s="1">
        <v>46100</v>
      </c>
      <c r="F572" s="1">
        <v>46112</v>
      </c>
      <c r="G572" s="1">
        <v>46116</v>
      </c>
      <c r="H572">
        <v>9000</v>
      </c>
      <c r="I572" t="s">
        <v>38</v>
      </c>
      <c r="J572">
        <v>4</v>
      </c>
      <c r="K572">
        <v>36000</v>
      </c>
    </row>
    <row r="573" spans="1:11" x14ac:dyDescent="0.3">
      <c r="A573" t="s">
        <v>1085</v>
      </c>
      <c r="B573" t="s">
        <v>3809</v>
      </c>
      <c r="C573" t="s">
        <v>439</v>
      </c>
      <c r="D573" t="s">
        <v>223</v>
      </c>
      <c r="E573" s="1">
        <v>46036</v>
      </c>
      <c r="F573" s="1">
        <v>46037</v>
      </c>
      <c r="G573" s="1"/>
      <c r="H573">
        <v>4800</v>
      </c>
      <c r="I573" t="s">
        <v>49</v>
      </c>
      <c r="J573">
        <v>7</v>
      </c>
      <c r="K573">
        <v>33600</v>
      </c>
    </row>
    <row r="574" spans="1:11" x14ac:dyDescent="0.3">
      <c r="A574" t="s">
        <v>6113</v>
      </c>
      <c r="B574" t="s">
        <v>650</v>
      </c>
      <c r="C574" t="s">
        <v>165</v>
      </c>
      <c r="D574" t="s">
        <v>223</v>
      </c>
      <c r="E574" s="1">
        <v>46072</v>
      </c>
      <c r="F574" s="1">
        <v>46129</v>
      </c>
      <c r="G574" s="1">
        <v>46130</v>
      </c>
      <c r="H574">
        <v>5200</v>
      </c>
      <c r="I574" t="s">
        <v>38</v>
      </c>
      <c r="J574">
        <v>1</v>
      </c>
      <c r="K574">
        <v>5200</v>
      </c>
    </row>
    <row r="575" spans="1:11" x14ac:dyDescent="0.3">
      <c r="A575" t="s">
        <v>1087</v>
      </c>
      <c r="B575" t="s">
        <v>4356</v>
      </c>
      <c r="C575" t="s">
        <v>67</v>
      </c>
      <c r="D575" t="s">
        <v>19</v>
      </c>
      <c r="E575" s="1">
        <v>46029</v>
      </c>
      <c r="F575" s="1">
        <v>46102</v>
      </c>
      <c r="G575" s="1"/>
      <c r="H575">
        <v>9000</v>
      </c>
      <c r="I575" t="s">
        <v>12</v>
      </c>
      <c r="J575">
        <v>6</v>
      </c>
      <c r="K575">
        <v>54000</v>
      </c>
    </row>
    <row r="576" spans="1:11" x14ac:dyDescent="0.3">
      <c r="A576" t="s">
        <v>1089</v>
      </c>
      <c r="B576" t="s">
        <v>355</v>
      </c>
      <c r="C576" t="s">
        <v>594</v>
      </c>
      <c r="D576" t="s">
        <v>48</v>
      </c>
      <c r="E576" s="1">
        <v>46109</v>
      </c>
      <c r="F576" s="1">
        <v>46130</v>
      </c>
      <c r="G576" s="1">
        <v>46136</v>
      </c>
      <c r="H576">
        <v>6500</v>
      </c>
      <c r="I576" t="s">
        <v>38</v>
      </c>
      <c r="J576">
        <v>6</v>
      </c>
      <c r="K576">
        <v>39000</v>
      </c>
    </row>
    <row r="577" spans="1:11" x14ac:dyDescent="0.3">
      <c r="A577" t="s">
        <v>1091</v>
      </c>
      <c r="B577" t="s">
        <v>1611</v>
      </c>
      <c r="C577" t="s">
        <v>343</v>
      </c>
      <c r="D577" t="s">
        <v>19</v>
      </c>
      <c r="E577" s="1">
        <v>46200</v>
      </c>
      <c r="F577" s="1">
        <v>46272</v>
      </c>
      <c r="G577" s="1"/>
      <c r="H577">
        <v>7000</v>
      </c>
      <c r="I577" t="s">
        <v>12</v>
      </c>
      <c r="J577">
        <v>5</v>
      </c>
      <c r="K577">
        <v>35000</v>
      </c>
    </row>
    <row r="578" spans="1:11" x14ac:dyDescent="0.3">
      <c r="A578" t="s">
        <v>1093</v>
      </c>
      <c r="B578" t="s">
        <v>610</v>
      </c>
      <c r="C578" t="s">
        <v>258</v>
      </c>
      <c r="D578" t="s">
        <v>33</v>
      </c>
      <c r="E578" s="1">
        <v>46172</v>
      </c>
      <c r="F578" s="1">
        <v>46205</v>
      </c>
      <c r="G578" s="1"/>
      <c r="H578">
        <v>4700</v>
      </c>
      <c r="I578" t="s">
        <v>12</v>
      </c>
      <c r="J578">
        <v>7</v>
      </c>
      <c r="K578">
        <v>32900</v>
      </c>
    </row>
    <row r="579" spans="1:11" x14ac:dyDescent="0.3">
      <c r="A579" t="s">
        <v>1095</v>
      </c>
      <c r="B579" t="s">
        <v>1901</v>
      </c>
      <c r="C579" t="s">
        <v>45</v>
      </c>
      <c r="D579" t="s">
        <v>33</v>
      </c>
      <c r="E579" s="1">
        <v>46153</v>
      </c>
      <c r="F579" s="1">
        <v>46191</v>
      </c>
      <c r="G579" s="1"/>
      <c r="H579">
        <v>7700</v>
      </c>
      <c r="I579" t="s">
        <v>12</v>
      </c>
      <c r="J579">
        <v>6</v>
      </c>
      <c r="K579">
        <v>46200</v>
      </c>
    </row>
    <row r="580" spans="1:11" x14ac:dyDescent="0.3">
      <c r="A580" t="s">
        <v>1097</v>
      </c>
      <c r="B580" t="s">
        <v>2082</v>
      </c>
      <c r="C580" t="s">
        <v>15</v>
      </c>
      <c r="D580" t="s">
        <v>223</v>
      </c>
      <c r="E580" s="1">
        <v>46119</v>
      </c>
      <c r="F580" s="1">
        <v>46144</v>
      </c>
      <c r="G580" s="1">
        <v>46146</v>
      </c>
      <c r="H580">
        <v>6500</v>
      </c>
      <c r="I580" t="s">
        <v>38</v>
      </c>
      <c r="J580">
        <v>2</v>
      </c>
      <c r="K580">
        <v>13000</v>
      </c>
    </row>
    <row r="581" spans="1:11" x14ac:dyDescent="0.3">
      <c r="A581" t="s">
        <v>1099</v>
      </c>
      <c r="B581" t="s">
        <v>4049</v>
      </c>
      <c r="C581" t="s">
        <v>211</v>
      </c>
      <c r="D581" t="s">
        <v>26</v>
      </c>
      <c r="E581" s="1">
        <v>46031</v>
      </c>
      <c r="F581" s="1">
        <v>46070</v>
      </c>
      <c r="G581" s="1"/>
      <c r="H581">
        <v>7200</v>
      </c>
      <c r="I581" t="s">
        <v>12</v>
      </c>
      <c r="J581">
        <v>5</v>
      </c>
      <c r="K581">
        <v>36000</v>
      </c>
    </row>
    <row r="582" spans="1:11" x14ac:dyDescent="0.3">
      <c r="A582" t="s">
        <v>1101</v>
      </c>
      <c r="B582" t="s">
        <v>2725</v>
      </c>
      <c r="C582" t="s">
        <v>270</v>
      </c>
      <c r="D582" t="s">
        <v>19</v>
      </c>
      <c r="E582" s="1">
        <v>46198</v>
      </c>
      <c r="F582" s="1">
        <v>46286</v>
      </c>
      <c r="G582" s="1"/>
      <c r="H582">
        <v>4000</v>
      </c>
      <c r="I582" t="s">
        <v>12</v>
      </c>
      <c r="J582">
        <v>5</v>
      </c>
      <c r="K582">
        <v>20000</v>
      </c>
    </row>
    <row r="583" spans="1:11" x14ac:dyDescent="0.3">
      <c r="A583" t="s">
        <v>1103</v>
      </c>
      <c r="B583" t="s">
        <v>4054</v>
      </c>
      <c r="C583" t="s">
        <v>122</v>
      </c>
      <c r="D583" t="s">
        <v>11</v>
      </c>
      <c r="E583" s="1">
        <v>46075</v>
      </c>
      <c r="F583" s="1">
        <v>46152</v>
      </c>
      <c r="G583" s="1"/>
      <c r="H583">
        <v>6900</v>
      </c>
      <c r="I583" t="s">
        <v>12</v>
      </c>
      <c r="J583">
        <v>3</v>
      </c>
      <c r="K583">
        <v>20700</v>
      </c>
    </row>
    <row r="584" spans="1:11" x14ac:dyDescent="0.3">
      <c r="A584" t="s">
        <v>1105</v>
      </c>
      <c r="B584" t="s">
        <v>3751</v>
      </c>
      <c r="C584" t="s">
        <v>175</v>
      </c>
      <c r="D584" t="s">
        <v>11</v>
      </c>
      <c r="E584" s="1">
        <v>46184</v>
      </c>
      <c r="F584" s="1">
        <v>46272</v>
      </c>
      <c r="G584" s="1"/>
      <c r="H584">
        <v>6200</v>
      </c>
      <c r="I584" t="s">
        <v>12</v>
      </c>
      <c r="J584">
        <v>3</v>
      </c>
      <c r="K584">
        <v>18600</v>
      </c>
    </row>
    <row r="585" spans="1:11" x14ac:dyDescent="0.3">
      <c r="A585" t="s">
        <v>1107</v>
      </c>
      <c r="B585" t="s">
        <v>1308</v>
      </c>
      <c r="C585" t="s">
        <v>279</v>
      </c>
      <c r="D585" t="s">
        <v>237</v>
      </c>
      <c r="E585" s="1">
        <v>46197</v>
      </c>
      <c r="F585" s="1">
        <v>46197</v>
      </c>
      <c r="G585" s="1"/>
      <c r="H585">
        <v>4700</v>
      </c>
      <c r="I585" t="s">
        <v>49</v>
      </c>
      <c r="J585">
        <v>4</v>
      </c>
      <c r="K585">
        <v>18800</v>
      </c>
    </row>
    <row r="586" spans="1:11" x14ac:dyDescent="0.3">
      <c r="A586" t="s">
        <v>6114</v>
      </c>
      <c r="B586" t="s">
        <v>821</v>
      </c>
      <c r="C586" t="s">
        <v>22</v>
      </c>
      <c r="D586" t="s">
        <v>48</v>
      </c>
      <c r="E586" s="1">
        <v>46118</v>
      </c>
      <c r="F586" s="1">
        <v>46175</v>
      </c>
      <c r="G586" s="1">
        <v>46177</v>
      </c>
      <c r="H586">
        <v>7000</v>
      </c>
      <c r="I586" t="s">
        <v>38</v>
      </c>
      <c r="J586">
        <v>2</v>
      </c>
      <c r="K586">
        <v>14000</v>
      </c>
    </row>
    <row r="587" spans="1:11" x14ac:dyDescent="0.3">
      <c r="A587" t="s">
        <v>6115</v>
      </c>
      <c r="B587" t="s">
        <v>922</v>
      </c>
      <c r="C587" t="s">
        <v>175</v>
      </c>
      <c r="D587" t="s">
        <v>19</v>
      </c>
      <c r="E587" s="1">
        <v>46098</v>
      </c>
      <c r="F587" s="1">
        <v>46164</v>
      </c>
      <c r="G587" s="1"/>
      <c r="H587">
        <v>6200</v>
      </c>
      <c r="I587" t="s">
        <v>12</v>
      </c>
      <c r="J587">
        <v>4</v>
      </c>
      <c r="K587">
        <v>24800</v>
      </c>
    </row>
    <row r="588" spans="1:11" x14ac:dyDescent="0.3">
      <c r="A588" t="s">
        <v>1109</v>
      </c>
      <c r="B588" t="s">
        <v>2365</v>
      </c>
      <c r="C588" t="s">
        <v>92</v>
      </c>
      <c r="D588" t="s">
        <v>48</v>
      </c>
      <c r="E588" s="1">
        <v>46103</v>
      </c>
      <c r="F588" s="1">
        <v>46144</v>
      </c>
      <c r="G588" s="1">
        <v>46146</v>
      </c>
      <c r="H588">
        <v>4200</v>
      </c>
      <c r="I588" t="s">
        <v>38</v>
      </c>
      <c r="J588">
        <v>2</v>
      </c>
      <c r="K588">
        <v>8400</v>
      </c>
    </row>
    <row r="589" spans="1:11" x14ac:dyDescent="0.3">
      <c r="A589" t="s">
        <v>6116</v>
      </c>
      <c r="B589" t="s">
        <v>1146</v>
      </c>
      <c r="C589" t="s">
        <v>98</v>
      </c>
      <c r="D589" t="s">
        <v>26</v>
      </c>
      <c r="E589" s="1">
        <v>46085</v>
      </c>
      <c r="F589" s="1">
        <v>46154</v>
      </c>
      <c r="G589" s="1"/>
      <c r="H589">
        <v>6700</v>
      </c>
      <c r="I589" t="s">
        <v>12</v>
      </c>
      <c r="J589">
        <v>3</v>
      </c>
      <c r="K589">
        <v>20100</v>
      </c>
    </row>
    <row r="590" spans="1:11" x14ac:dyDescent="0.3">
      <c r="A590" t="s">
        <v>6117</v>
      </c>
      <c r="B590" t="s">
        <v>2967</v>
      </c>
      <c r="C590" t="s">
        <v>25</v>
      </c>
      <c r="D590" t="s">
        <v>48</v>
      </c>
      <c r="E590" s="1">
        <v>46026</v>
      </c>
      <c r="F590" s="1">
        <v>46027</v>
      </c>
      <c r="G590" s="1"/>
      <c r="H590">
        <v>6700</v>
      </c>
      <c r="I590" t="s">
        <v>49</v>
      </c>
      <c r="J590">
        <v>2</v>
      </c>
      <c r="K590">
        <v>13400</v>
      </c>
    </row>
    <row r="591" spans="1:11" x14ac:dyDescent="0.3">
      <c r="A591" t="s">
        <v>6118</v>
      </c>
      <c r="B591" t="s">
        <v>1893</v>
      </c>
      <c r="C591" t="s">
        <v>109</v>
      </c>
      <c r="D591" t="s">
        <v>19</v>
      </c>
      <c r="E591" s="1">
        <v>46119</v>
      </c>
      <c r="F591" s="1">
        <v>46206</v>
      </c>
      <c r="G591" s="1"/>
      <c r="H591">
        <v>7200</v>
      </c>
      <c r="I591" t="s">
        <v>12</v>
      </c>
      <c r="J591">
        <v>6</v>
      </c>
      <c r="K591">
        <v>43200</v>
      </c>
    </row>
    <row r="592" spans="1:11" x14ac:dyDescent="0.3">
      <c r="A592" t="s">
        <v>1111</v>
      </c>
      <c r="B592" t="s">
        <v>3169</v>
      </c>
      <c r="C592" t="s">
        <v>36</v>
      </c>
      <c r="D592" t="s">
        <v>33</v>
      </c>
      <c r="E592" s="1">
        <v>46192</v>
      </c>
      <c r="F592" s="1">
        <v>46282</v>
      </c>
      <c r="G592" s="1"/>
      <c r="H592">
        <v>7000</v>
      </c>
      <c r="I592" t="s">
        <v>12</v>
      </c>
      <c r="J592">
        <v>7</v>
      </c>
      <c r="K592">
        <v>49000</v>
      </c>
    </row>
    <row r="593" spans="1:11" x14ac:dyDescent="0.3">
      <c r="A593" t="s">
        <v>6119</v>
      </c>
      <c r="B593" t="s">
        <v>3368</v>
      </c>
      <c r="C593" t="s">
        <v>175</v>
      </c>
      <c r="D593" t="s">
        <v>26</v>
      </c>
      <c r="E593" s="1">
        <v>46035</v>
      </c>
      <c r="F593" s="1">
        <v>46051</v>
      </c>
      <c r="G593" s="1"/>
      <c r="H593">
        <v>6200</v>
      </c>
      <c r="I593" t="s">
        <v>12</v>
      </c>
      <c r="J593">
        <v>4</v>
      </c>
      <c r="K593">
        <v>24800</v>
      </c>
    </row>
    <row r="594" spans="1:11" x14ac:dyDescent="0.3">
      <c r="A594" t="s">
        <v>6120</v>
      </c>
      <c r="B594" t="s">
        <v>3180</v>
      </c>
      <c r="C594" t="s">
        <v>343</v>
      </c>
      <c r="D594" t="s">
        <v>11</v>
      </c>
      <c r="E594" s="1">
        <v>46160</v>
      </c>
      <c r="F594" s="1">
        <v>46196</v>
      </c>
      <c r="G594" s="1"/>
      <c r="H594">
        <v>7000</v>
      </c>
      <c r="I594" t="s">
        <v>12</v>
      </c>
      <c r="J594">
        <v>1</v>
      </c>
      <c r="K594">
        <v>7000</v>
      </c>
    </row>
    <row r="595" spans="1:11" x14ac:dyDescent="0.3">
      <c r="A595" t="s">
        <v>1113</v>
      </c>
      <c r="B595" t="s">
        <v>1839</v>
      </c>
      <c r="C595" t="s">
        <v>36</v>
      </c>
      <c r="D595" t="s">
        <v>33</v>
      </c>
      <c r="E595" s="1">
        <v>46197</v>
      </c>
      <c r="F595" s="1">
        <v>46276</v>
      </c>
      <c r="G595" s="1"/>
      <c r="H595">
        <v>7000</v>
      </c>
      <c r="I595" t="s">
        <v>12</v>
      </c>
      <c r="J595">
        <v>6</v>
      </c>
      <c r="K595">
        <v>42000</v>
      </c>
    </row>
    <row r="596" spans="1:11" x14ac:dyDescent="0.3">
      <c r="A596" t="s">
        <v>1115</v>
      </c>
      <c r="B596" t="s">
        <v>2412</v>
      </c>
      <c r="C596" t="s">
        <v>92</v>
      </c>
      <c r="D596" t="s">
        <v>37</v>
      </c>
      <c r="E596" s="1">
        <v>46166</v>
      </c>
      <c r="F596" s="1">
        <v>46167</v>
      </c>
      <c r="G596" s="1"/>
      <c r="H596">
        <v>4200</v>
      </c>
      <c r="I596" t="s">
        <v>49</v>
      </c>
      <c r="J596">
        <v>6</v>
      </c>
      <c r="K596">
        <v>25200</v>
      </c>
    </row>
    <row r="597" spans="1:11" x14ac:dyDescent="0.3">
      <c r="A597" t="s">
        <v>1117</v>
      </c>
      <c r="B597" t="s">
        <v>321</v>
      </c>
      <c r="C597" t="s">
        <v>64</v>
      </c>
      <c r="D597" t="s">
        <v>26</v>
      </c>
      <c r="E597" s="1">
        <v>46121</v>
      </c>
      <c r="F597" s="1">
        <v>46198</v>
      </c>
      <c r="G597" s="1"/>
      <c r="H597">
        <v>4700</v>
      </c>
      <c r="I597" t="s">
        <v>12</v>
      </c>
      <c r="J597">
        <v>4</v>
      </c>
      <c r="K597">
        <v>18800</v>
      </c>
    </row>
    <row r="598" spans="1:11" x14ac:dyDescent="0.3">
      <c r="A598" t="s">
        <v>1119</v>
      </c>
      <c r="B598" t="s">
        <v>2620</v>
      </c>
      <c r="C598" t="s">
        <v>125</v>
      </c>
      <c r="D598" t="s">
        <v>26</v>
      </c>
      <c r="E598" s="1">
        <v>46158</v>
      </c>
      <c r="F598" s="1"/>
      <c r="G598" s="1"/>
      <c r="H598">
        <v>4800</v>
      </c>
      <c r="I598" t="s">
        <v>76</v>
      </c>
      <c r="J598">
        <v>0</v>
      </c>
      <c r="K598">
        <v>0</v>
      </c>
    </row>
    <row r="599" spans="1:11" x14ac:dyDescent="0.3">
      <c r="A599" t="s">
        <v>6121</v>
      </c>
      <c r="B599" t="s">
        <v>503</v>
      </c>
      <c r="C599" t="s">
        <v>255</v>
      </c>
      <c r="D599" t="s">
        <v>237</v>
      </c>
      <c r="E599" s="1">
        <v>46079</v>
      </c>
      <c r="F599" s="1">
        <v>46080</v>
      </c>
      <c r="G599" s="1">
        <v>46087</v>
      </c>
      <c r="H599">
        <v>4200</v>
      </c>
      <c r="I599" t="s">
        <v>38</v>
      </c>
      <c r="J599">
        <v>7</v>
      </c>
      <c r="K599">
        <v>29400</v>
      </c>
    </row>
    <row r="600" spans="1:11" x14ac:dyDescent="0.3">
      <c r="A600" t="s">
        <v>1121</v>
      </c>
      <c r="B600" t="s">
        <v>1040</v>
      </c>
      <c r="C600" t="s">
        <v>109</v>
      </c>
      <c r="D600" t="s">
        <v>26</v>
      </c>
      <c r="E600" s="1">
        <v>46059</v>
      </c>
      <c r="F600" s="1">
        <v>46103</v>
      </c>
      <c r="G600" s="1"/>
      <c r="H600">
        <v>7200</v>
      </c>
      <c r="I600" t="s">
        <v>12</v>
      </c>
      <c r="J600">
        <v>3</v>
      </c>
      <c r="K600">
        <v>21600</v>
      </c>
    </row>
    <row r="601" spans="1:11" x14ac:dyDescent="0.3">
      <c r="A601" t="s">
        <v>1123</v>
      </c>
      <c r="B601" t="s">
        <v>3821</v>
      </c>
      <c r="C601" t="s">
        <v>279</v>
      </c>
      <c r="D601" t="s">
        <v>11</v>
      </c>
      <c r="E601" s="1">
        <v>46024</v>
      </c>
      <c r="F601" s="1"/>
      <c r="G601" s="1"/>
      <c r="H601">
        <v>4700</v>
      </c>
      <c r="I601" t="s">
        <v>76</v>
      </c>
      <c r="J601">
        <v>0</v>
      </c>
      <c r="K601">
        <v>0</v>
      </c>
    </row>
    <row r="602" spans="1:11" x14ac:dyDescent="0.3">
      <c r="A602" t="s">
        <v>6122</v>
      </c>
      <c r="B602" t="s">
        <v>3133</v>
      </c>
      <c r="C602" t="s">
        <v>87</v>
      </c>
      <c r="D602" t="s">
        <v>19</v>
      </c>
      <c r="E602" s="1">
        <v>46175</v>
      </c>
      <c r="F602" s="1">
        <v>46245</v>
      </c>
      <c r="G602" s="1"/>
      <c r="H602">
        <v>5000</v>
      </c>
      <c r="I602" t="s">
        <v>12</v>
      </c>
      <c r="J602">
        <v>1</v>
      </c>
      <c r="K602">
        <v>5000</v>
      </c>
    </row>
    <row r="603" spans="1:11" x14ac:dyDescent="0.3">
      <c r="A603" t="s">
        <v>6123</v>
      </c>
      <c r="B603" t="s">
        <v>2013</v>
      </c>
      <c r="C603" t="s">
        <v>338</v>
      </c>
      <c r="D603" t="s">
        <v>237</v>
      </c>
      <c r="E603" s="1">
        <v>46193</v>
      </c>
      <c r="F603" s="1">
        <v>46243</v>
      </c>
      <c r="G603" s="1">
        <v>46248</v>
      </c>
      <c r="H603">
        <v>7700</v>
      </c>
      <c r="I603" t="s">
        <v>38</v>
      </c>
      <c r="J603">
        <v>5</v>
      </c>
      <c r="K603">
        <v>38500</v>
      </c>
    </row>
    <row r="604" spans="1:11" x14ac:dyDescent="0.3">
      <c r="A604" t="s">
        <v>6124</v>
      </c>
      <c r="B604" t="s">
        <v>829</v>
      </c>
      <c r="C604" t="s">
        <v>106</v>
      </c>
      <c r="D604" t="s">
        <v>11</v>
      </c>
      <c r="E604" s="1">
        <v>46056</v>
      </c>
      <c r="F604" s="1">
        <v>46109</v>
      </c>
      <c r="G604" s="1"/>
      <c r="H604">
        <v>4300</v>
      </c>
      <c r="I604" t="s">
        <v>12</v>
      </c>
      <c r="J604">
        <v>2</v>
      </c>
      <c r="K604">
        <v>8600</v>
      </c>
    </row>
    <row r="605" spans="1:11" x14ac:dyDescent="0.3">
      <c r="A605" t="s">
        <v>1125</v>
      </c>
      <c r="B605" t="s">
        <v>519</v>
      </c>
      <c r="C605" t="s">
        <v>152</v>
      </c>
      <c r="D605" t="s">
        <v>26</v>
      </c>
      <c r="E605" s="1">
        <v>46055</v>
      </c>
      <c r="F605" s="1">
        <v>46122</v>
      </c>
      <c r="G605" s="1"/>
      <c r="H605">
        <v>7800</v>
      </c>
      <c r="I605" t="s">
        <v>12</v>
      </c>
      <c r="J605">
        <v>5</v>
      </c>
      <c r="K605">
        <v>39000</v>
      </c>
    </row>
    <row r="606" spans="1:11" x14ac:dyDescent="0.3">
      <c r="A606" t="s">
        <v>1127</v>
      </c>
      <c r="B606" t="s">
        <v>187</v>
      </c>
      <c r="C606" t="s">
        <v>211</v>
      </c>
      <c r="D606" t="s">
        <v>26</v>
      </c>
      <c r="E606" s="1">
        <v>46180</v>
      </c>
      <c r="F606" s="1">
        <v>46270</v>
      </c>
      <c r="G606" s="1"/>
      <c r="H606">
        <v>7200</v>
      </c>
      <c r="I606" t="s">
        <v>12</v>
      </c>
      <c r="J606">
        <v>3</v>
      </c>
      <c r="K606">
        <v>21600</v>
      </c>
    </row>
    <row r="607" spans="1:11" x14ac:dyDescent="0.3">
      <c r="A607" t="s">
        <v>6125</v>
      </c>
      <c r="B607" t="s">
        <v>3653</v>
      </c>
      <c r="C607" t="s">
        <v>255</v>
      </c>
      <c r="D607" t="s">
        <v>26</v>
      </c>
      <c r="E607" s="1">
        <v>46144</v>
      </c>
      <c r="F607" s="1">
        <v>46198</v>
      </c>
      <c r="G607" s="1"/>
      <c r="H607">
        <v>4200</v>
      </c>
      <c r="I607" t="s">
        <v>12</v>
      </c>
      <c r="J607">
        <v>4</v>
      </c>
      <c r="K607">
        <v>16800</v>
      </c>
    </row>
    <row r="608" spans="1:11" x14ac:dyDescent="0.3">
      <c r="A608" t="s">
        <v>1129</v>
      </c>
      <c r="B608" t="s">
        <v>1116</v>
      </c>
      <c r="C608" t="s">
        <v>252</v>
      </c>
      <c r="D608" t="s">
        <v>26</v>
      </c>
      <c r="E608" s="1">
        <v>46173</v>
      </c>
      <c r="F608" s="1">
        <v>46261</v>
      </c>
      <c r="G608" s="1"/>
      <c r="H608">
        <v>7800</v>
      </c>
      <c r="I608" t="s">
        <v>12</v>
      </c>
      <c r="J608">
        <v>3</v>
      </c>
      <c r="K608">
        <v>23400</v>
      </c>
    </row>
    <row r="609" spans="1:11" x14ac:dyDescent="0.3">
      <c r="A609" t="s">
        <v>1131</v>
      </c>
      <c r="B609" t="s">
        <v>723</v>
      </c>
      <c r="C609" t="s">
        <v>119</v>
      </c>
      <c r="D609" t="s">
        <v>223</v>
      </c>
      <c r="E609" s="1">
        <v>46127</v>
      </c>
      <c r="F609" s="1">
        <v>46183</v>
      </c>
      <c r="G609" s="1">
        <v>46186</v>
      </c>
      <c r="H609">
        <v>4700</v>
      </c>
      <c r="I609" t="s">
        <v>38</v>
      </c>
      <c r="J609">
        <v>3</v>
      </c>
      <c r="K609">
        <v>14100</v>
      </c>
    </row>
    <row r="610" spans="1:11" x14ac:dyDescent="0.3">
      <c r="A610" t="s">
        <v>1133</v>
      </c>
      <c r="B610" t="s">
        <v>1988</v>
      </c>
      <c r="C610" t="s">
        <v>193</v>
      </c>
      <c r="D610" t="s">
        <v>223</v>
      </c>
      <c r="E610" s="1">
        <v>46167</v>
      </c>
      <c r="F610" s="1">
        <v>46169</v>
      </c>
      <c r="G610" s="1">
        <v>46171</v>
      </c>
      <c r="H610">
        <v>6500</v>
      </c>
      <c r="I610" t="s">
        <v>38</v>
      </c>
      <c r="J610">
        <v>2</v>
      </c>
      <c r="K610">
        <v>13000</v>
      </c>
    </row>
    <row r="611" spans="1:11" x14ac:dyDescent="0.3">
      <c r="A611" t="s">
        <v>6126</v>
      </c>
      <c r="B611" t="s">
        <v>727</v>
      </c>
      <c r="C611" t="s">
        <v>57</v>
      </c>
      <c r="D611" t="s">
        <v>237</v>
      </c>
      <c r="E611" s="1">
        <v>46038</v>
      </c>
      <c r="F611" s="1">
        <v>46082</v>
      </c>
      <c r="G611" s="1">
        <v>46083</v>
      </c>
      <c r="H611">
        <v>7700</v>
      </c>
      <c r="I611" t="s">
        <v>38</v>
      </c>
      <c r="J611">
        <v>1</v>
      </c>
      <c r="K611">
        <v>7700</v>
      </c>
    </row>
    <row r="612" spans="1:11" x14ac:dyDescent="0.3">
      <c r="A612" t="s">
        <v>1135</v>
      </c>
      <c r="B612" t="s">
        <v>1580</v>
      </c>
      <c r="C612" t="s">
        <v>252</v>
      </c>
      <c r="D612" t="s">
        <v>33</v>
      </c>
      <c r="E612" s="1">
        <v>46123</v>
      </c>
      <c r="F612" s="1">
        <v>46134</v>
      </c>
      <c r="G612" s="1"/>
      <c r="H612">
        <v>7800</v>
      </c>
      <c r="I612" t="s">
        <v>12</v>
      </c>
      <c r="J612">
        <v>5</v>
      </c>
      <c r="K612">
        <v>39000</v>
      </c>
    </row>
    <row r="613" spans="1:11" x14ac:dyDescent="0.3">
      <c r="A613" t="s">
        <v>1137</v>
      </c>
      <c r="B613" t="s">
        <v>114</v>
      </c>
      <c r="C613" t="s">
        <v>81</v>
      </c>
      <c r="D613" t="s">
        <v>19</v>
      </c>
      <c r="E613" s="1">
        <v>46059</v>
      </c>
      <c r="F613" s="1">
        <v>46094</v>
      </c>
      <c r="G613" s="1"/>
      <c r="H613">
        <v>4200</v>
      </c>
      <c r="I613" t="s">
        <v>12</v>
      </c>
      <c r="J613">
        <v>3</v>
      </c>
      <c r="K613">
        <v>12600</v>
      </c>
    </row>
    <row r="614" spans="1:11" x14ac:dyDescent="0.3">
      <c r="A614" t="s">
        <v>1139</v>
      </c>
      <c r="B614" t="s">
        <v>725</v>
      </c>
      <c r="C614" t="s">
        <v>594</v>
      </c>
      <c r="D614" t="s">
        <v>11</v>
      </c>
      <c r="E614" s="1">
        <v>46168</v>
      </c>
      <c r="F614" s="1">
        <v>46250</v>
      </c>
      <c r="G614" s="1"/>
      <c r="H614">
        <v>6500</v>
      </c>
      <c r="I614" t="s">
        <v>12</v>
      </c>
      <c r="J614">
        <v>4</v>
      </c>
      <c r="K614">
        <v>26000</v>
      </c>
    </row>
    <row r="615" spans="1:11" x14ac:dyDescent="0.3">
      <c r="A615" t="s">
        <v>1141</v>
      </c>
      <c r="B615" t="s">
        <v>1308</v>
      </c>
      <c r="C615" t="s">
        <v>87</v>
      </c>
      <c r="D615" t="s">
        <v>11</v>
      </c>
      <c r="E615" s="1">
        <v>46034</v>
      </c>
      <c r="F615" s="1">
        <v>46105</v>
      </c>
      <c r="G615" s="1"/>
      <c r="H615">
        <v>5000</v>
      </c>
      <c r="I615" t="s">
        <v>12</v>
      </c>
      <c r="J615">
        <v>1</v>
      </c>
      <c r="K615">
        <v>5000</v>
      </c>
    </row>
    <row r="616" spans="1:11" x14ac:dyDescent="0.3">
      <c r="A616" t="s">
        <v>1143</v>
      </c>
      <c r="B616" t="s">
        <v>3642</v>
      </c>
      <c r="C616" t="s">
        <v>119</v>
      </c>
      <c r="D616" t="s">
        <v>19</v>
      </c>
      <c r="E616" s="1">
        <v>46035</v>
      </c>
      <c r="F616" s="1">
        <v>46070</v>
      </c>
      <c r="G616" s="1"/>
      <c r="H616">
        <v>4700</v>
      </c>
      <c r="I616" t="s">
        <v>12</v>
      </c>
      <c r="J616">
        <v>7</v>
      </c>
      <c r="K616">
        <v>32900</v>
      </c>
    </row>
    <row r="617" spans="1:11" x14ac:dyDescent="0.3">
      <c r="A617" t="s">
        <v>1145</v>
      </c>
      <c r="B617" t="s">
        <v>2786</v>
      </c>
      <c r="C617" t="s">
        <v>240</v>
      </c>
      <c r="D617" t="s">
        <v>11</v>
      </c>
      <c r="E617" s="1">
        <v>46133</v>
      </c>
      <c r="F617" s="1">
        <v>46166</v>
      </c>
      <c r="G617" s="1"/>
      <c r="H617">
        <v>5400</v>
      </c>
      <c r="I617" t="s">
        <v>12</v>
      </c>
      <c r="J617">
        <v>6</v>
      </c>
      <c r="K617">
        <v>32400</v>
      </c>
    </row>
    <row r="618" spans="1:11" x14ac:dyDescent="0.3">
      <c r="A618" t="s">
        <v>1147</v>
      </c>
      <c r="B618" t="s">
        <v>2113</v>
      </c>
      <c r="C618" t="s">
        <v>240</v>
      </c>
      <c r="D618" t="s">
        <v>26</v>
      </c>
      <c r="E618" s="1">
        <v>46059</v>
      </c>
      <c r="F618" s="1">
        <v>46074</v>
      </c>
      <c r="G618" s="1"/>
      <c r="H618">
        <v>5400</v>
      </c>
      <c r="I618" t="s">
        <v>12</v>
      </c>
      <c r="J618">
        <v>6</v>
      </c>
      <c r="K618">
        <v>32400</v>
      </c>
    </row>
    <row r="619" spans="1:11" x14ac:dyDescent="0.3">
      <c r="A619" t="s">
        <v>6127</v>
      </c>
      <c r="B619" t="s">
        <v>3266</v>
      </c>
      <c r="C619" t="s">
        <v>214</v>
      </c>
      <c r="D619" t="s">
        <v>11</v>
      </c>
      <c r="E619" s="1">
        <v>46188</v>
      </c>
      <c r="F619" s="1">
        <v>46232</v>
      </c>
      <c r="G619" s="1"/>
      <c r="H619">
        <v>4000</v>
      </c>
      <c r="I619" t="s">
        <v>12</v>
      </c>
      <c r="J619">
        <v>3</v>
      </c>
      <c r="K619">
        <v>12000</v>
      </c>
    </row>
    <row r="620" spans="1:11" x14ac:dyDescent="0.3">
      <c r="A620" t="s">
        <v>1149</v>
      </c>
      <c r="B620" t="s">
        <v>4194</v>
      </c>
      <c r="C620" t="s">
        <v>122</v>
      </c>
      <c r="D620" t="s">
        <v>33</v>
      </c>
      <c r="E620" s="1">
        <v>46200</v>
      </c>
      <c r="F620" s="1">
        <v>46250</v>
      </c>
      <c r="G620" s="1"/>
      <c r="H620">
        <v>6900</v>
      </c>
      <c r="I620" t="s">
        <v>12</v>
      </c>
      <c r="J620">
        <v>4</v>
      </c>
      <c r="K620">
        <v>27600</v>
      </c>
    </row>
    <row r="621" spans="1:11" x14ac:dyDescent="0.3">
      <c r="A621" t="s">
        <v>6128</v>
      </c>
      <c r="B621" t="s">
        <v>2912</v>
      </c>
      <c r="C621" t="s">
        <v>168</v>
      </c>
      <c r="D621" t="s">
        <v>33</v>
      </c>
      <c r="E621" s="1">
        <v>46091</v>
      </c>
      <c r="F621" s="1">
        <v>46137</v>
      </c>
      <c r="G621" s="1"/>
      <c r="H621">
        <v>4300</v>
      </c>
      <c r="I621" t="s">
        <v>12</v>
      </c>
      <c r="J621">
        <v>4</v>
      </c>
      <c r="K621">
        <v>17200</v>
      </c>
    </row>
    <row r="622" spans="1:11" x14ac:dyDescent="0.3">
      <c r="A622" t="s">
        <v>1151</v>
      </c>
      <c r="B622" t="s">
        <v>984</v>
      </c>
      <c r="C622" t="s">
        <v>258</v>
      </c>
      <c r="D622" t="s">
        <v>26</v>
      </c>
      <c r="E622" s="1">
        <v>46113</v>
      </c>
      <c r="F622" s="1">
        <v>46183</v>
      </c>
      <c r="G622" s="1"/>
      <c r="H622">
        <v>4700</v>
      </c>
      <c r="I622" t="s">
        <v>12</v>
      </c>
      <c r="J622">
        <v>5</v>
      </c>
      <c r="K622">
        <v>23500</v>
      </c>
    </row>
    <row r="623" spans="1:11" x14ac:dyDescent="0.3">
      <c r="A623" t="s">
        <v>1153</v>
      </c>
      <c r="B623" t="s">
        <v>3031</v>
      </c>
      <c r="C623" t="s">
        <v>182</v>
      </c>
      <c r="D623" t="s">
        <v>19</v>
      </c>
      <c r="E623" s="1">
        <v>46043</v>
      </c>
      <c r="F623" s="1">
        <v>46068</v>
      </c>
      <c r="G623" s="1"/>
      <c r="H623">
        <v>7000</v>
      </c>
      <c r="I623" t="s">
        <v>12</v>
      </c>
      <c r="J623">
        <v>5</v>
      </c>
      <c r="K623">
        <v>35000</v>
      </c>
    </row>
    <row r="624" spans="1:11" x14ac:dyDescent="0.3">
      <c r="A624" t="s">
        <v>6129</v>
      </c>
      <c r="B624" t="s">
        <v>2178</v>
      </c>
      <c r="C624" t="s">
        <v>112</v>
      </c>
      <c r="D624" t="s">
        <v>48</v>
      </c>
      <c r="E624" s="1">
        <v>46148</v>
      </c>
      <c r="F624" s="1">
        <v>46148</v>
      </c>
      <c r="G624" s="1"/>
      <c r="H624">
        <v>4800</v>
      </c>
      <c r="I624" t="s">
        <v>49</v>
      </c>
      <c r="J624">
        <v>6</v>
      </c>
      <c r="K624">
        <v>28800</v>
      </c>
    </row>
    <row r="625" spans="1:11" x14ac:dyDescent="0.3">
      <c r="A625" t="s">
        <v>1155</v>
      </c>
      <c r="B625" t="s">
        <v>606</v>
      </c>
      <c r="C625" t="s">
        <v>214</v>
      </c>
      <c r="D625" t="s">
        <v>33</v>
      </c>
      <c r="E625" s="1">
        <v>46094</v>
      </c>
      <c r="F625" s="1">
        <v>46179</v>
      </c>
      <c r="G625" s="1"/>
      <c r="H625">
        <v>4000</v>
      </c>
      <c r="I625" t="s">
        <v>12</v>
      </c>
      <c r="J625">
        <v>3</v>
      </c>
      <c r="K625">
        <v>12000</v>
      </c>
    </row>
    <row r="626" spans="1:11" x14ac:dyDescent="0.3">
      <c r="A626" t="s">
        <v>1157</v>
      </c>
      <c r="B626" t="s">
        <v>2700</v>
      </c>
      <c r="C626" t="s">
        <v>188</v>
      </c>
      <c r="D626" t="s">
        <v>237</v>
      </c>
      <c r="E626" s="1">
        <v>46183</v>
      </c>
      <c r="F626" s="1">
        <v>46183</v>
      </c>
      <c r="G626" s="1"/>
      <c r="H626">
        <v>6500</v>
      </c>
      <c r="I626" t="s">
        <v>49</v>
      </c>
      <c r="J626">
        <v>4</v>
      </c>
      <c r="K626">
        <v>26000</v>
      </c>
    </row>
    <row r="627" spans="1:11" x14ac:dyDescent="0.3">
      <c r="A627" t="s">
        <v>1159</v>
      </c>
      <c r="B627" t="s">
        <v>2926</v>
      </c>
      <c r="C627" t="s">
        <v>526</v>
      </c>
      <c r="D627" t="s">
        <v>48</v>
      </c>
      <c r="E627" s="1">
        <v>46159</v>
      </c>
      <c r="F627" s="1">
        <v>46160</v>
      </c>
      <c r="G627" s="1"/>
      <c r="H627">
        <v>6200</v>
      </c>
      <c r="I627" t="s">
        <v>49</v>
      </c>
      <c r="J627">
        <v>4</v>
      </c>
      <c r="K627">
        <v>24800</v>
      </c>
    </row>
    <row r="628" spans="1:11" x14ac:dyDescent="0.3">
      <c r="A628" t="s">
        <v>1161</v>
      </c>
      <c r="B628" t="s">
        <v>174</v>
      </c>
      <c r="C628" t="s">
        <v>255</v>
      </c>
      <c r="D628" t="s">
        <v>33</v>
      </c>
      <c r="E628" s="1">
        <v>46125</v>
      </c>
      <c r="F628" s="1">
        <v>46189</v>
      </c>
      <c r="G628" s="1"/>
      <c r="H628">
        <v>4200</v>
      </c>
      <c r="I628" t="s">
        <v>12</v>
      </c>
      <c r="J628">
        <v>1</v>
      </c>
      <c r="K628">
        <v>4200</v>
      </c>
    </row>
    <row r="629" spans="1:11" x14ac:dyDescent="0.3">
      <c r="A629" t="s">
        <v>6130</v>
      </c>
      <c r="B629" t="s">
        <v>2232</v>
      </c>
      <c r="C629" t="s">
        <v>98</v>
      </c>
      <c r="D629" t="s">
        <v>11</v>
      </c>
      <c r="E629" s="1">
        <v>46042</v>
      </c>
      <c r="F629" s="1">
        <v>46128</v>
      </c>
      <c r="G629" s="1"/>
      <c r="H629">
        <v>6700</v>
      </c>
      <c r="I629" t="s">
        <v>12</v>
      </c>
      <c r="J629">
        <v>6</v>
      </c>
      <c r="K629">
        <v>40200</v>
      </c>
    </row>
    <row r="630" spans="1:11" x14ac:dyDescent="0.3">
      <c r="A630" t="s">
        <v>6131</v>
      </c>
      <c r="B630" t="s">
        <v>3993</v>
      </c>
      <c r="C630" t="s">
        <v>255</v>
      </c>
      <c r="D630" t="s">
        <v>11</v>
      </c>
      <c r="E630" s="1">
        <v>46112</v>
      </c>
      <c r="F630" s="1">
        <v>46150</v>
      </c>
      <c r="G630" s="1"/>
      <c r="H630">
        <v>4200</v>
      </c>
      <c r="I630" t="s">
        <v>12</v>
      </c>
      <c r="J630">
        <v>6</v>
      </c>
      <c r="K630">
        <v>25200</v>
      </c>
    </row>
    <row r="631" spans="1:11" x14ac:dyDescent="0.3">
      <c r="A631" t="s">
        <v>6132</v>
      </c>
      <c r="B631" t="s">
        <v>2684</v>
      </c>
      <c r="C631" t="s">
        <v>130</v>
      </c>
      <c r="D631" t="s">
        <v>26</v>
      </c>
      <c r="E631" s="1">
        <v>46075</v>
      </c>
      <c r="F631" s="1">
        <v>46143</v>
      </c>
      <c r="G631" s="1"/>
      <c r="H631">
        <v>6400</v>
      </c>
      <c r="I631" t="s">
        <v>12</v>
      </c>
      <c r="J631">
        <v>3</v>
      </c>
      <c r="K631">
        <v>19200</v>
      </c>
    </row>
    <row r="632" spans="1:11" x14ac:dyDescent="0.3">
      <c r="A632" t="s">
        <v>6133</v>
      </c>
      <c r="B632" t="s">
        <v>530</v>
      </c>
      <c r="C632" t="s">
        <v>240</v>
      </c>
      <c r="D632" t="s">
        <v>19</v>
      </c>
      <c r="E632" s="1">
        <v>46072</v>
      </c>
      <c r="F632" s="1">
        <v>46142</v>
      </c>
      <c r="G632" s="1"/>
      <c r="H632">
        <v>5400</v>
      </c>
      <c r="I632" t="s">
        <v>12</v>
      </c>
      <c r="J632">
        <v>5</v>
      </c>
      <c r="K632">
        <v>27000</v>
      </c>
    </row>
    <row r="633" spans="1:11" x14ac:dyDescent="0.3">
      <c r="A633" t="s">
        <v>1163</v>
      </c>
      <c r="B633" t="s">
        <v>2149</v>
      </c>
      <c r="C633" t="s">
        <v>87</v>
      </c>
      <c r="D633" t="s">
        <v>19</v>
      </c>
      <c r="E633" s="1">
        <v>46162</v>
      </c>
      <c r="F633" s="1">
        <v>46175</v>
      </c>
      <c r="G633" s="1"/>
      <c r="H633">
        <v>5000</v>
      </c>
      <c r="I633" t="s">
        <v>12</v>
      </c>
      <c r="J633">
        <v>5</v>
      </c>
      <c r="K633">
        <v>25000</v>
      </c>
    </row>
    <row r="634" spans="1:11" x14ac:dyDescent="0.3">
      <c r="A634" t="s">
        <v>1165</v>
      </c>
      <c r="B634" t="s">
        <v>72</v>
      </c>
      <c r="C634" t="s">
        <v>294</v>
      </c>
      <c r="D634" t="s">
        <v>26</v>
      </c>
      <c r="E634" s="1">
        <v>46084</v>
      </c>
      <c r="F634" s="1">
        <v>46151</v>
      </c>
      <c r="G634" s="1"/>
      <c r="H634">
        <v>6400</v>
      </c>
      <c r="I634" t="s">
        <v>12</v>
      </c>
      <c r="J634">
        <v>3</v>
      </c>
      <c r="K634">
        <v>19200</v>
      </c>
    </row>
    <row r="635" spans="1:11" x14ac:dyDescent="0.3">
      <c r="A635" t="s">
        <v>1167</v>
      </c>
      <c r="B635" t="s">
        <v>574</v>
      </c>
      <c r="C635" t="s">
        <v>182</v>
      </c>
      <c r="D635" t="s">
        <v>33</v>
      </c>
      <c r="E635" s="1">
        <v>46054</v>
      </c>
      <c r="F635" s="1">
        <v>46072</v>
      </c>
      <c r="G635" s="1"/>
      <c r="H635">
        <v>7000</v>
      </c>
      <c r="I635" t="s">
        <v>12</v>
      </c>
      <c r="J635">
        <v>2</v>
      </c>
      <c r="K635">
        <v>14000</v>
      </c>
    </row>
    <row r="636" spans="1:11" x14ac:dyDescent="0.3">
      <c r="A636" t="s">
        <v>1169</v>
      </c>
      <c r="B636" t="s">
        <v>1375</v>
      </c>
      <c r="C636" t="s">
        <v>22</v>
      </c>
      <c r="D636" t="s">
        <v>37</v>
      </c>
      <c r="E636" s="1">
        <v>46105</v>
      </c>
      <c r="F636" s="1">
        <v>46150</v>
      </c>
      <c r="G636" s="1">
        <v>46157</v>
      </c>
      <c r="H636">
        <v>7000</v>
      </c>
      <c r="I636" t="s">
        <v>38</v>
      </c>
      <c r="J636">
        <v>7</v>
      </c>
      <c r="K636">
        <v>49000</v>
      </c>
    </row>
    <row r="637" spans="1:11" x14ac:dyDescent="0.3">
      <c r="A637" t="s">
        <v>6134</v>
      </c>
      <c r="B637" t="s">
        <v>1452</v>
      </c>
      <c r="C637" t="s">
        <v>258</v>
      </c>
      <c r="D637" t="s">
        <v>33</v>
      </c>
      <c r="E637" s="1">
        <v>46133</v>
      </c>
      <c r="F637" s="1">
        <v>46208</v>
      </c>
      <c r="G637" s="1"/>
      <c r="H637">
        <v>4700</v>
      </c>
      <c r="I637" t="s">
        <v>12</v>
      </c>
      <c r="J637">
        <v>3</v>
      </c>
      <c r="K637">
        <v>14100</v>
      </c>
    </row>
    <row r="638" spans="1:11" x14ac:dyDescent="0.3">
      <c r="A638" t="s">
        <v>1171</v>
      </c>
      <c r="B638" t="s">
        <v>825</v>
      </c>
      <c r="C638" t="s">
        <v>109</v>
      </c>
      <c r="D638" t="s">
        <v>11</v>
      </c>
      <c r="E638" s="1">
        <v>46038</v>
      </c>
      <c r="F638" s="1">
        <v>46068</v>
      </c>
      <c r="G638" s="1"/>
      <c r="H638">
        <v>7200</v>
      </c>
      <c r="I638" t="s">
        <v>12</v>
      </c>
      <c r="J638">
        <v>1</v>
      </c>
      <c r="K638">
        <v>7200</v>
      </c>
    </row>
    <row r="639" spans="1:11" x14ac:dyDescent="0.3">
      <c r="A639" t="s">
        <v>1173</v>
      </c>
      <c r="B639" t="s">
        <v>1040</v>
      </c>
      <c r="C639" t="s">
        <v>165</v>
      </c>
      <c r="D639" t="s">
        <v>19</v>
      </c>
      <c r="E639" s="1">
        <v>46185</v>
      </c>
      <c r="F639" s="1">
        <v>46252</v>
      </c>
      <c r="G639" s="1"/>
      <c r="H639">
        <v>5200</v>
      </c>
      <c r="I639" t="s">
        <v>12</v>
      </c>
      <c r="J639">
        <v>2</v>
      </c>
      <c r="K639">
        <v>10400</v>
      </c>
    </row>
    <row r="640" spans="1:11" x14ac:dyDescent="0.3">
      <c r="A640" t="s">
        <v>1175</v>
      </c>
      <c r="B640" t="s">
        <v>895</v>
      </c>
      <c r="C640" t="s">
        <v>366</v>
      </c>
      <c r="D640" t="s">
        <v>11</v>
      </c>
      <c r="E640" s="1">
        <v>46148</v>
      </c>
      <c r="F640" s="1">
        <v>46197</v>
      </c>
      <c r="G640" s="1"/>
      <c r="H640">
        <v>7700</v>
      </c>
      <c r="I640" t="s">
        <v>12</v>
      </c>
      <c r="J640">
        <v>4</v>
      </c>
      <c r="K640">
        <v>30800</v>
      </c>
    </row>
    <row r="641" spans="1:11" x14ac:dyDescent="0.3">
      <c r="A641" t="s">
        <v>1177</v>
      </c>
      <c r="B641" t="s">
        <v>1767</v>
      </c>
      <c r="C641" t="s">
        <v>389</v>
      </c>
      <c r="D641" t="s">
        <v>95</v>
      </c>
      <c r="E641" s="1">
        <v>46190</v>
      </c>
      <c r="F641" s="1">
        <v>46238</v>
      </c>
      <c r="G641" s="1">
        <v>46243</v>
      </c>
      <c r="H641">
        <v>7700</v>
      </c>
      <c r="I641" t="s">
        <v>38</v>
      </c>
      <c r="J641">
        <v>5</v>
      </c>
      <c r="K641">
        <v>38500</v>
      </c>
    </row>
    <row r="642" spans="1:11" x14ac:dyDescent="0.3">
      <c r="A642" t="s">
        <v>6135</v>
      </c>
      <c r="B642" t="s">
        <v>642</v>
      </c>
      <c r="C642" t="s">
        <v>152</v>
      </c>
      <c r="D642" t="s">
        <v>33</v>
      </c>
      <c r="E642" s="1">
        <v>46125</v>
      </c>
      <c r="F642" s="1"/>
      <c r="G642" s="1"/>
      <c r="H642">
        <v>7800</v>
      </c>
      <c r="I642" t="s">
        <v>76</v>
      </c>
      <c r="J642">
        <v>0</v>
      </c>
      <c r="K642">
        <v>0</v>
      </c>
    </row>
    <row r="643" spans="1:11" x14ac:dyDescent="0.3">
      <c r="A643" t="s">
        <v>1179</v>
      </c>
      <c r="B643" t="s">
        <v>1284</v>
      </c>
      <c r="C643" t="s">
        <v>245</v>
      </c>
      <c r="D643" t="s">
        <v>33</v>
      </c>
      <c r="E643" s="1">
        <v>46110</v>
      </c>
      <c r="F643" s="1">
        <v>46137</v>
      </c>
      <c r="G643" s="1"/>
      <c r="H643">
        <v>8300</v>
      </c>
      <c r="I643" t="s">
        <v>12</v>
      </c>
      <c r="J643">
        <v>6</v>
      </c>
      <c r="K643">
        <v>49800</v>
      </c>
    </row>
    <row r="644" spans="1:11" x14ac:dyDescent="0.3">
      <c r="A644" t="s">
        <v>1181</v>
      </c>
      <c r="B644" t="s">
        <v>3366</v>
      </c>
      <c r="C644" t="s">
        <v>214</v>
      </c>
      <c r="D644" t="s">
        <v>11</v>
      </c>
      <c r="E644" s="1">
        <v>46101</v>
      </c>
      <c r="F644" s="1">
        <v>46183</v>
      </c>
      <c r="G644" s="1"/>
      <c r="H644">
        <v>4000</v>
      </c>
      <c r="I644" t="s">
        <v>12</v>
      </c>
      <c r="J644">
        <v>7</v>
      </c>
      <c r="K644">
        <v>28000</v>
      </c>
    </row>
    <row r="645" spans="1:11" x14ac:dyDescent="0.3">
      <c r="A645" t="s">
        <v>1183</v>
      </c>
      <c r="B645" t="s">
        <v>3978</v>
      </c>
      <c r="C645" t="s">
        <v>73</v>
      </c>
      <c r="D645" t="s">
        <v>11</v>
      </c>
      <c r="E645" s="1">
        <v>46198</v>
      </c>
      <c r="F645" s="1">
        <v>46258</v>
      </c>
      <c r="G645" s="1"/>
      <c r="H645">
        <v>7800</v>
      </c>
      <c r="I645" t="s">
        <v>12</v>
      </c>
      <c r="J645">
        <v>1</v>
      </c>
      <c r="K645">
        <v>7800</v>
      </c>
    </row>
    <row r="646" spans="1:11" x14ac:dyDescent="0.3">
      <c r="A646" t="s">
        <v>1185</v>
      </c>
      <c r="B646" t="s">
        <v>1048</v>
      </c>
      <c r="C646" t="s">
        <v>343</v>
      </c>
      <c r="D646" t="s">
        <v>11</v>
      </c>
      <c r="E646" s="1">
        <v>46101</v>
      </c>
      <c r="F646" s="1">
        <v>46162</v>
      </c>
      <c r="G646" s="1"/>
      <c r="H646">
        <v>7000</v>
      </c>
      <c r="I646" t="s">
        <v>12</v>
      </c>
      <c r="J646">
        <v>7</v>
      </c>
      <c r="K646">
        <v>49000</v>
      </c>
    </row>
    <row r="647" spans="1:11" x14ac:dyDescent="0.3">
      <c r="A647" t="s">
        <v>1187</v>
      </c>
      <c r="B647" t="s">
        <v>2394</v>
      </c>
      <c r="C647" t="s">
        <v>133</v>
      </c>
      <c r="D647" t="s">
        <v>58</v>
      </c>
      <c r="E647" s="1">
        <v>46138</v>
      </c>
      <c r="F647" s="1">
        <v>46144</v>
      </c>
      <c r="G647" s="1">
        <v>46145</v>
      </c>
      <c r="H647">
        <v>7000</v>
      </c>
      <c r="I647" t="s">
        <v>38</v>
      </c>
      <c r="J647">
        <v>1</v>
      </c>
      <c r="K647">
        <v>7000</v>
      </c>
    </row>
    <row r="648" spans="1:11" x14ac:dyDescent="0.3">
      <c r="A648" t="s">
        <v>1189</v>
      </c>
      <c r="B648" t="s">
        <v>3098</v>
      </c>
      <c r="C648" t="s">
        <v>252</v>
      </c>
      <c r="D648" t="s">
        <v>19</v>
      </c>
      <c r="E648" s="1">
        <v>46029</v>
      </c>
      <c r="F648" s="1">
        <v>46105</v>
      </c>
      <c r="G648" s="1"/>
      <c r="H648">
        <v>7800</v>
      </c>
      <c r="I648" t="s">
        <v>12</v>
      </c>
      <c r="J648">
        <v>7</v>
      </c>
      <c r="K648">
        <v>54600</v>
      </c>
    </row>
    <row r="649" spans="1:11" x14ac:dyDescent="0.3">
      <c r="A649" t="s">
        <v>6136</v>
      </c>
      <c r="B649" t="s">
        <v>3496</v>
      </c>
      <c r="C649" t="s">
        <v>122</v>
      </c>
      <c r="D649" t="s">
        <v>42</v>
      </c>
      <c r="E649" s="1">
        <v>46192</v>
      </c>
      <c r="F649" s="1">
        <v>46226</v>
      </c>
      <c r="G649" s="1">
        <v>46232</v>
      </c>
      <c r="H649">
        <v>6900</v>
      </c>
      <c r="I649" t="s">
        <v>38</v>
      </c>
      <c r="J649">
        <v>6</v>
      </c>
      <c r="K649">
        <v>41400</v>
      </c>
    </row>
    <row r="650" spans="1:11" x14ac:dyDescent="0.3">
      <c r="A650" t="s">
        <v>6137</v>
      </c>
      <c r="B650" t="s">
        <v>1603</v>
      </c>
      <c r="C650" t="s">
        <v>252</v>
      </c>
      <c r="D650" t="s">
        <v>33</v>
      </c>
      <c r="E650" s="1">
        <v>46104</v>
      </c>
      <c r="F650" s="1">
        <v>46162</v>
      </c>
      <c r="G650" s="1"/>
      <c r="H650">
        <v>7800</v>
      </c>
      <c r="I650" t="s">
        <v>12</v>
      </c>
      <c r="J650">
        <v>7</v>
      </c>
      <c r="K650">
        <v>54600</v>
      </c>
    </row>
    <row r="651" spans="1:11" x14ac:dyDescent="0.3">
      <c r="A651" t="s">
        <v>1191</v>
      </c>
      <c r="B651" t="s">
        <v>312</v>
      </c>
      <c r="C651" t="s">
        <v>159</v>
      </c>
      <c r="D651" t="s">
        <v>26</v>
      </c>
      <c r="E651" s="1">
        <v>46171</v>
      </c>
      <c r="F651" s="1"/>
      <c r="G651" s="1"/>
      <c r="H651">
        <v>7200</v>
      </c>
      <c r="I651" t="s">
        <v>76</v>
      </c>
      <c r="J651">
        <v>0</v>
      </c>
      <c r="K651">
        <v>0</v>
      </c>
    </row>
    <row r="652" spans="1:11" x14ac:dyDescent="0.3">
      <c r="A652" t="s">
        <v>1193</v>
      </c>
      <c r="B652" t="s">
        <v>3974</v>
      </c>
      <c r="C652" t="s">
        <v>54</v>
      </c>
      <c r="D652" t="s">
        <v>33</v>
      </c>
      <c r="E652" s="1">
        <v>46070</v>
      </c>
      <c r="F652" s="1">
        <v>46136</v>
      </c>
      <c r="G652" s="1"/>
      <c r="H652">
        <v>7500</v>
      </c>
      <c r="I652" t="s">
        <v>12</v>
      </c>
      <c r="J652">
        <v>7</v>
      </c>
      <c r="K652">
        <v>52500</v>
      </c>
    </row>
    <row r="653" spans="1:11" x14ac:dyDescent="0.3">
      <c r="A653" t="s">
        <v>1195</v>
      </c>
      <c r="B653" t="s">
        <v>1168</v>
      </c>
      <c r="C653" t="s">
        <v>214</v>
      </c>
      <c r="D653" t="s">
        <v>33</v>
      </c>
      <c r="E653" s="1">
        <v>46025</v>
      </c>
      <c r="F653" s="1">
        <v>46041</v>
      </c>
      <c r="G653" s="1"/>
      <c r="H653">
        <v>4000</v>
      </c>
      <c r="I653" t="s">
        <v>12</v>
      </c>
      <c r="J653">
        <v>5</v>
      </c>
      <c r="K653">
        <v>20000</v>
      </c>
    </row>
    <row r="654" spans="1:11" x14ac:dyDescent="0.3">
      <c r="A654" t="s">
        <v>1197</v>
      </c>
      <c r="B654" t="s">
        <v>1276</v>
      </c>
      <c r="C654" t="s">
        <v>279</v>
      </c>
      <c r="D654" t="s">
        <v>223</v>
      </c>
      <c r="E654" s="1">
        <v>46042</v>
      </c>
      <c r="F654" s="1">
        <v>46043</v>
      </c>
      <c r="G654" s="1"/>
      <c r="H654">
        <v>4700</v>
      </c>
      <c r="I654" t="s">
        <v>49</v>
      </c>
      <c r="J654">
        <v>5</v>
      </c>
      <c r="K654">
        <v>23500</v>
      </c>
    </row>
    <row r="655" spans="1:11" x14ac:dyDescent="0.3">
      <c r="A655" t="s">
        <v>1199</v>
      </c>
      <c r="B655" t="s">
        <v>1887</v>
      </c>
      <c r="C655" t="s">
        <v>106</v>
      </c>
      <c r="D655" t="s">
        <v>26</v>
      </c>
      <c r="E655" s="1">
        <v>46070</v>
      </c>
      <c r="F655" s="1">
        <v>46114</v>
      </c>
      <c r="G655" s="1"/>
      <c r="H655">
        <v>4300</v>
      </c>
      <c r="I655" t="s">
        <v>12</v>
      </c>
      <c r="J655">
        <v>4</v>
      </c>
      <c r="K655">
        <v>17200</v>
      </c>
    </row>
    <row r="656" spans="1:11" x14ac:dyDescent="0.3">
      <c r="A656" t="s">
        <v>1201</v>
      </c>
      <c r="B656" t="s">
        <v>1234</v>
      </c>
      <c r="C656" t="s">
        <v>10</v>
      </c>
      <c r="D656" t="s">
        <v>26</v>
      </c>
      <c r="E656" s="1">
        <v>46085</v>
      </c>
      <c r="F656" s="1">
        <v>46111</v>
      </c>
      <c r="G656" s="1"/>
      <c r="H656">
        <v>6700</v>
      </c>
      <c r="I656" t="s">
        <v>12</v>
      </c>
      <c r="J656">
        <v>2</v>
      </c>
      <c r="K656">
        <v>13400</v>
      </c>
    </row>
    <row r="657" spans="1:11" x14ac:dyDescent="0.3">
      <c r="A657" t="s">
        <v>6138</v>
      </c>
      <c r="B657" t="s">
        <v>2800</v>
      </c>
      <c r="C657" t="s">
        <v>143</v>
      </c>
      <c r="D657" t="s">
        <v>58</v>
      </c>
      <c r="E657" s="1">
        <v>46193</v>
      </c>
      <c r="F657" s="1">
        <v>46213</v>
      </c>
      <c r="G657" s="1">
        <v>46215</v>
      </c>
      <c r="H657">
        <v>5400</v>
      </c>
      <c r="I657" t="s">
        <v>38</v>
      </c>
      <c r="J657">
        <v>2</v>
      </c>
      <c r="K657">
        <v>10800</v>
      </c>
    </row>
    <row r="658" spans="1:11" x14ac:dyDescent="0.3">
      <c r="A658" t="s">
        <v>1203</v>
      </c>
      <c r="B658" t="s">
        <v>3484</v>
      </c>
      <c r="C658" t="s">
        <v>175</v>
      </c>
      <c r="D658" t="s">
        <v>37</v>
      </c>
      <c r="E658" s="1">
        <v>46171</v>
      </c>
      <c r="F658" s="1">
        <v>46198</v>
      </c>
      <c r="G658" s="1">
        <v>46199</v>
      </c>
      <c r="H658">
        <v>6200</v>
      </c>
      <c r="I658" t="s">
        <v>38</v>
      </c>
      <c r="J658">
        <v>1</v>
      </c>
      <c r="K658">
        <v>6200</v>
      </c>
    </row>
    <row r="659" spans="1:11" x14ac:dyDescent="0.3">
      <c r="A659" t="s">
        <v>1205</v>
      </c>
      <c r="B659" t="s">
        <v>3343</v>
      </c>
      <c r="C659" t="s">
        <v>535</v>
      </c>
      <c r="D659" t="s">
        <v>37</v>
      </c>
      <c r="E659" s="1">
        <v>46165</v>
      </c>
      <c r="F659" s="1">
        <v>46169</v>
      </c>
      <c r="G659" s="1">
        <v>46173</v>
      </c>
      <c r="H659">
        <v>6200</v>
      </c>
      <c r="I659" t="s">
        <v>38</v>
      </c>
      <c r="J659">
        <v>4</v>
      </c>
      <c r="K659">
        <v>24800</v>
      </c>
    </row>
    <row r="660" spans="1:11" x14ac:dyDescent="0.3">
      <c r="A660" t="s">
        <v>6139</v>
      </c>
      <c r="B660" t="s">
        <v>576</v>
      </c>
      <c r="C660" t="s">
        <v>57</v>
      </c>
      <c r="D660" t="s">
        <v>26</v>
      </c>
      <c r="E660" s="1">
        <v>46052</v>
      </c>
      <c r="F660" s="1">
        <v>46062</v>
      </c>
      <c r="G660" s="1"/>
      <c r="H660">
        <v>7700</v>
      </c>
      <c r="I660" t="s">
        <v>12</v>
      </c>
      <c r="J660">
        <v>3</v>
      </c>
      <c r="K660">
        <v>23100</v>
      </c>
    </row>
    <row r="661" spans="1:11" x14ac:dyDescent="0.3">
      <c r="A661" t="s">
        <v>1207</v>
      </c>
      <c r="B661" t="s">
        <v>2856</v>
      </c>
      <c r="C661" t="s">
        <v>168</v>
      </c>
      <c r="D661" t="s">
        <v>58</v>
      </c>
      <c r="E661" s="1">
        <v>46027</v>
      </c>
      <c r="F661" s="1">
        <v>46057</v>
      </c>
      <c r="G661" s="1">
        <v>46058</v>
      </c>
      <c r="H661">
        <v>4300</v>
      </c>
      <c r="I661" t="s">
        <v>38</v>
      </c>
      <c r="J661">
        <v>1</v>
      </c>
      <c r="K661">
        <v>4300</v>
      </c>
    </row>
    <row r="662" spans="1:11" x14ac:dyDescent="0.3">
      <c r="A662" t="s">
        <v>1209</v>
      </c>
      <c r="B662" t="s">
        <v>3229</v>
      </c>
      <c r="C662" t="s">
        <v>175</v>
      </c>
      <c r="D662" t="s">
        <v>26</v>
      </c>
      <c r="E662" s="1">
        <v>46163</v>
      </c>
      <c r="F662" s="1">
        <v>46224</v>
      </c>
      <c r="G662" s="1"/>
      <c r="H662">
        <v>6200</v>
      </c>
      <c r="I662" t="s">
        <v>12</v>
      </c>
      <c r="J662">
        <v>3</v>
      </c>
      <c r="K662">
        <v>18600</v>
      </c>
    </row>
    <row r="663" spans="1:11" x14ac:dyDescent="0.3">
      <c r="A663" t="s">
        <v>1211</v>
      </c>
      <c r="B663" t="s">
        <v>4410</v>
      </c>
      <c r="C663" t="s">
        <v>326</v>
      </c>
      <c r="D663" t="s">
        <v>223</v>
      </c>
      <c r="E663" s="1">
        <v>46188</v>
      </c>
      <c r="F663" s="1">
        <v>46228</v>
      </c>
      <c r="G663" s="1">
        <v>46232</v>
      </c>
      <c r="H663">
        <v>4000</v>
      </c>
      <c r="I663" t="s">
        <v>38</v>
      </c>
      <c r="J663">
        <v>4</v>
      </c>
      <c r="K663">
        <v>16000</v>
      </c>
    </row>
    <row r="664" spans="1:11" x14ac:dyDescent="0.3">
      <c r="A664" t="s">
        <v>6140</v>
      </c>
      <c r="B664" t="s">
        <v>2165</v>
      </c>
      <c r="C664" t="s">
        <v>57</v>
      </c>
      <c r="D664" t="s">
        <v>19</v>
      </c>
      <c r="E664" s="1">
        <v>46140</v>
      </c>
      <c r="F664" s="1">
        <v>46205</v>
      </c>
      <c r="G664" s="1"/>
      <c r="H664">
        <v>7700</v>
      </c>
      <c r="I664" t="s">
        <v>12</v>
      </c>
      <c r="J664">
        <v>1</v>
      </c>
      <c r="K664">
        <v>7700</v>
      </c>
    </row>
    <row r="665" spans="1:11" x14ac:dyDescent="0.3">
      <c r="A665" t="s">
        <v>6141</v>
      </c>
      <c r="B665" t="s">
        <v>2327</v>
      </c>
      <c r="C665" t="s">
        <v>119</v>
      </c>
      <c r="D665" t="s">
        <v>33</v>
      </c>
      <c r="E665" s="1">
        <v>46127</v>
      </c>
      <c r="F665" s="1">
        <v>46179</v>
      </c>
      <c r="G665" s="1"/>
      <c r="H665">
        <v>4700</v>
      </c>
      <c r="I665" t="s">
        <v>12</v>
      </c>
      <c r="J665">
        <v>5</v>
      </c>
      <c r="K665">
        <v>23500</v>
      </c>
    </row>
    <row r="666" spans="1:11" x14ac:dyDescent="0.3">
      <c r="A666" t="s">
        <v>1213</v>
      </c>
      <c r="B666" t="s">
        <v>2245</v>
      </c>
      <c r="C666" t="s">
        <v>146</v>
      </c>
      <c r="D666" t="s">
        <v>48</v>
      </c>
      <c r="E666" s="1">
        <v>46118</v>
      </c>
      <c r="F666" s="1">
        <v>46152</v>
      </c>
      <c r="G666" s="1">
        <v>46159</v>
      </c>
      <c r="H666">
        <v>4700</v>
      </c>
      <c r="I666" t="s">
        <v>38</v>
      </c>
      <c r="J666">
        <v>7</v>
      </c>
      <c r="K666">
        <v>32900</v>
      </c>
    </row>
    <row r="667" spans="1:11" x14ac:dyDescent="0.3">
      <c r="A667" t="s">
        <v>1215</v>
      </c>
      <c r="B667" t="s">
        <v>737</v>
      </c>
      <c r="C667" t="s">
        <v>400</v>
      </c>
      <c r="D667" t="s">
        <v>223</v>
      </c>
      <c r="E667" s="1">
        <v>46202</v>
      </c>
      <c r="F667" s="1">
        <v>46204</v>
      </c>
      <c r="G667" s="1"/>
      <c r="H667">
        <v>4200</v>
      </c>
      <c r="I667" t="s">
        <v>49</v>
      </c>
      <c r="J667">
        <v>4</v>
      </c>
      <c r="K667">
        <v>16800</v>
      </c>
    </row>
    <row r="668" spans="1:11" x14ac:dyDescent="0.3">
      <c r="A668" t="s">
        <v>1217</v>
      </c>
      <c r="B668" t="s">
        <v>4030</v>
      </c>
      <c r="C668" t="s">
        <v>258</v>
      </c>
      <c r="D668" t="s">
        <v>37</v>
      </c>
      <c r="E668" s="1">
        <v>46093</v>
      </c>
      <c r="F668" s="1">
        <v>46136</v>
      </c>
      <c r="G668" s="1">
        <v>46138</v>
      </c>
      <c r="H668">
        <v>4700</v>
      </c>
      <c r="I668" t="s">
        <v>38</v>
      </c>
      <c r="J668">
        <v>2</v>
      </c>
      <c r="K668">
        <v>9400</v>
      </c>
    </row>
    <row r="669" spans="1:11" x14ac:dyDescent="0.3">
      <c r="A669" t="s">
        <v>6142</v>
      </c>
      <c r="B669" t="s">
        <v>308</v>
      </c>
      <c r="C669" t="s">
        <v>106</v>
      </c>
      <c r="D669" t="s">
        <v>11</v>
      </c>
      <c r="E669" s="1">
        <v>46149</v>
      </c>
      <c r="F669" s="1">
        <v>46194</v>
      </c>
      <c r="G669" s="1"/>
      <c r="H669">
        <v>4300</v>
      </c>
      <c r="I669" t="s">
        <v>12</v>
      </c>
      <c r="J669">
        <v>5</v>
      </c>
      <c r="K669">
        <v>21500</v>
      </c>
    </row>
    <row r="670" spans="1:11" x14ac:dyDescent="0.3">
      <c r="A670" t="s">
        <v>6143</v>
      </c>
      <c r="B670" t="s">
        <v>2023</v>
      </c>
      <c r="C670" t="s">
        <v>255</v>
      </c>
      <c r="D670" t="s">
        <v>19</v>
      </c>
      <c r="E670" s="1">
        <v>46181</v>
      </c>
      <c r="F670" s="1">
        <v>46267</v>
      </c>
      <c r="G670" s="1"/>
      <c r="H670">
        <v>4200</v>
      </c>
      <c r="I670" t="s">
        <v>12</v>
      </c>
      <c r="J670">
        <v>3</v>
      </c>
      <c r="K670">
        <v>12600</v>
      </c>
    </row>
    <row r="671" spans="1:11" x14ac:dyDescent="0.3">
      <c r="A671" t="s">
        <v>1219</v>
      </c>
      <c r="B671" t="s">
        <v>91</v>
      </c>
      <c r="C671" t="s">
        <v>152</v>
      </c>
      <c r="D671" t="s">
        <v>26</v>
      </c>
      <c r="E671" s="1">
        <v>46128</v>
      </c>
      <c r="F671" s="1">
        <v>46208</v>
      </c>
      <c r="G671" s="1"/>
      <c r="H671">
        <v>7800</v>
      </c>
      <c r="I671" t="s">
        <v>12</v>
      </c>
      <c r="J671">
        <v>4</v>
      </c>
      <c r="K671">
        <v>31200</v>
      </c>
    </row>
    <row r="672" spans="1:11" x14ac:dyDescent="0.3">
      <c r="A672" t="s">
        <v>6144</v>
      </c>
      <c r="B672" t="s">
        <v>2821</v>
      </c>
      <c r="C672" t="s">
        <v>119</v>
      </c>
      <c r="D672" t="s">
        <v>19</v>
      </c>
      <c r="E672" s="1">
        <v>46064</v>
      </c>
      <c r="F672" s="1">
        <v>46130</v>
      </c>
      <c r="G672" s="1"/>
      <c r="H672">
        <v>4700</v>
      </c>
      <c r="I672" t="s">
        <v>12</v>
      </c>
      <c r="J672">
        <v>3</v>
      </c>
      <c r="K672">
        <v>14100</v>
      </c>
    </row>
    <row r="673" spans="1:11" x14ac:dyDescent="0.3">
      <c r="A673" t="s">
        <v>1221</v>
      </c>
      <c r="B673" t="s">
        <v>1288</v>
      </c>
      <c r="C673" t="s">
        <v>119</v>
      </c>
      <c r="D673" t="s">
        <v>33</v>
      </c>
      <c r="E673" s="1">
        <v>46131</v>
      </c>
      <c r="F673" s="1">
        <v>46200</v>
      </c>
      <c r="G673" s="1"/>
      <c r="H673">
        <v>4700</v>
      </c>
      <c r="I673" t="s">
        <v>12</v>
      </c>
      <c r="J673">
        <v>4</v>
      </c>
      <c r="K673">
        <v>18800</v>
      </c>
    </row>
    <row r="674" spans="1:11" x14ac:dyDescent="0.3">
      <c r="A674" t="s">
        <v>6145</v>
      </c>
      <c r="B674" t="s">
        <v>2800</v>
      </c>
      <c r="C674" t="s">
        <v>343</v>
      </c>
      <c r="D674" t="s">
        <v>19</v>
      </c>
      <c r="E674" s="1">
        <v>46146</v>
      </c>
      <c r="F674" s="1">
        <v>46196</v>
      </c>
      <c r="G674" s="1"/>
      <c r="H674">
        <v>7000</v>
      </c>
      <c r="I674" t="s">
        <v>12</v>
      </c>
      <c r="J674">
        <v>7</v>
      </c>
      <c r="K674">
        <v>49000</v>
      </c>
    </row>
    <row r="675" spans="1:11" x14ac:dyDescent="0.3">
      <c r="A675" t="s">
        <v>6146</v>
      </c>
      <c r="B675" t="s">
        <v>2716</v>
      </c>
      <c r="C675" t="s">
        <v>214</v>
      </c>
      <c r="D675" t="s">
        <v>11</v>
      </c>
      <c r="E675" s="1">
        <v>46109</v>
      </c>
      <c r="F675" s="1">
        <v>46138</v>
      </c>
      <c r="G675" s="1"/>
      <c r="H675">
        <v>4000</v>
      </c>
      <c r="I675" t="s">
        <v>12</v>
      </c>
      <c r="J675">
        <v>1</v>
      </c>
      <c r="K675">
        <v>4000</v>
      </c>
    </row>
    <row r="676" spans="1:11" x14ac:dyDescent="0.3">
      <c r="A676" t="s">
        <v>6147</v>
      </c>
      <c r="B676" t="s">
        <v>4323</v>
      </c>
      <c r="C676" t="s">
        <v>255</v>
      </c>
      <c r="D676" t="s">
        <v>26</v>
      </c>
      <c r="E676" s="1">
        <v>46035</v>
      </c>
      <c r="F676" s="1"/>
      <c r="G676" s="1"/>
      <c r="H676">
        <v>4200</v>
      </c>
      <c r="I676" t="s">
        <v>76</v>
      </c>
      <c r="J676">
        <v>0</v>
      </c>
      <c r="K676">
        <v>0</v>
      </c>
    </row>
    <row r="677" spans="1:11" x14ac:dyDescent="0.3">
      <c r="A677" t="s">
        <v>1223</v>
      </c>
      <c r="B677" t="s">
        <v>2630</v>
      </c>
      <c r="C677" t="s">
        <v>211</v>
      </c>
      <c r="D677" t="s">
        <v>33</v>
      </c>
      <c r="E677" s="1">
        <v>46069</v>
      </c>
      <c r="F677" s="1">
        <v>46118</v>
      </c>
      <c r="G677" s="1"/>
      <c r="H677">
        <v>7200</v>
      </c>
      <c r="I677" t="s">
        <v>12</v>
      </c>
      <c r="J677">
        <v>6</v>
      </c>
      <c r="K677">
        <v>43200</v>
      </c>
    </row>
    <row r="678" spans="1:11" x14ac:dyDescent="0.3">
      <c r="A678" t="s">
        <v>1225</v>
      </c>
      <c r="B678" t="s">
        <v>1995</v>
      </c>
      <c r="C678" t="s">
        <v>255</v>
      </c>
      <c r="D678" t="s">
        <v>19</v>
      </c>
      <c r="E678" s="1">
        <v>46058</v>
      </c>
      <c r="F678" s="1">
        <v>46122</v>
      </c>
      <c r="G678" s="1"/>
      <c r="H678">
        <v>4200</v>
      </c>
      <c r="I678" t="s">
        <v>12</v>
      </c>
      <c r="J678">
        <v>6</v>
      </c>
      <c r="K678">
        <v>25200</v>
      </c>
    </row>
    <row r="679" spans="1:11" x14ac:dyDescent="0.3">
      <c r="A679" t="s">
        <v>1227</v>
      </c>
      <c r="B679" t="s">
        <v>3087</v>
      </c>
      <c r="C679" t="s">
        <v>29</v>
      </c>
      <c r="D679" t="s">
        <v>19</v>
      </c>
      <c r="E679" s="1">
        <v>46123</v>
      </c>
      <c r="F679" s="1">
        <v>46179</v>
      </c>
      <c r="G679" s="1"/>
      <c r="H679">
        <v>5000</v>
      </c>
      <c r="I679" t="s">
        <v>12</v>
      </c>
      <c r="J679">
        <v>6</v>
      </c>
      <c r="K679">
        <v>30000</v>
      </c>
    </row>
    <row r="680" spans="1:11" x14ac:dyDescent="0.3">
      <c r="A680" t="s">
        <v>6148</v>
      </c>
      <c r="B680" t="s">
        <v>3039</v>
      </c>
      <c r="C680" t="s">
        <v>25</v>
      </c>
      <c r="D680" t="s">
        <v>58</v>
      </c>
      <c r="E680" s="1">
        <v>46052</v>
      </c>
      <c r="F680" s="1">
        <v>46054</v>
      </c>
      <c r="G680" s="1"/>
      <c r="H680">
        <v>6700</v>
      </c>
      <c r="I680" t="s">
        <v>49</v>
      </c>
      <c r="J680">
        <v>2</v>
      </c>
      <c r="K680">
        <v>13400</v>
      </c>
    </row>
    <row r="681" spans="1:11" x14ac:dyDescent="0.3">
      <c r="A681" t="s">
        <v>1229</v>
      </c>
      <c r="B681" t="s">
        <v>1783</v>
      </c>
      <c r="C681" t="s">
        <v>165</v>
      </c>
      <c r="D681" t="s">
        <v>19</v>
      </c>
      <c r="E681" s="1">
        <v>46043</v>
      </c>
      <c r="F681" s="1"/>
      <c r="G681" s="1"/>
      <c r="H681">
        <v>5200</v>
      </c>
      <c r="I681" t="s">
        <v>76</v>
      </c>
      <c r="J681">
        <v>0</v>
      </c>
      <c r="K681">
        <v>0</v>
      </c>
    </row>
    <row r="682" spans="1:11" x14ac:dyDescent="0.3">
      <c r="A682" t="s">
        <v>1231</v>
      </c>
      <c r="B682" t="s">
        <v>1858</v>
      </c>
      <c r="C682" t="s">
        <v>400</v>
      </c>
      <c r="D682" t="s">
        <v>58</v>
      </c>
      <c r="E682" s="1">
        <v>46200</v>
      </c>
      <c r="F682" s="1">
        <v>46201</v>
      </c>
      <c r="G682" s="1"/>
      <c r="H682">
        <v>4200</v>
      </c>
      <c r="I682" t="s">
        <v>49</v>
      </c>
      <c r="J682">
        <v>5</v>
      </c>
      <c r="K682">
        <v>21000</v>
      </c>
    </row>
    <row r="683" spans="1:11" x14ac:dyDescent="0.3">
      <c r="A683" t="s">
        <v>1233</v>
      </c>
      <c r="B683" t="s">
        <v>2139</v>
      </c>
      <c r="C683" t="s">
        <v>477</v>
      </c>
      <c r="D683" t="s">
        <v>42</v>
      </c>
      <c r="E683" s="1">
        <v>46184</v>
      </c>
      <c r="F683" s="1">
        <v>46239</v>
      </c>
      <c r="G683" s="1">
        <v>46245</v>
      </c>
      <c r="H683">
        <v>8000</v>
      </c>
      <c r="I683" t="s">
        <v>38</v>
      </c>
      <c r="J683">
        <v>6</v>
      </c>
      <c r="K683">
        <v>48000</v>
      </c>
    </row>
    <row r="684" spans="1:11" x14ac:dyDescent="0.3">
      <c r="A684" t="s">
        <v>6149</v>
      </c>
      <c r="B684" t="s">
        <v>1044</v>
      </c>
      <c r="C684" t="s">
        <v>168</v>
      </c>
      <c r="D684" t="s">
        <v>33</v>
      </c>
      <c r="E684" s="1">
        <v>46066</v>
      </c>
      <c r="F684" s="1">
        <v>46129</v>
      </c>
      <c r="G684" s="1"/>
      <c r="H684">
        <v>4300</v>
      </c>
      <c r="I684" t="s">
        <v>12</v>
      </c>
      <c r="J684">
        <v>5</v>
      </c>
      <c r="K684">
        <v>21500</v>
      </c>
    </row>
    <row r="685" spans="1:11" x14ac:dyDescent="0.3">
      <c r="A685" t="s">
        <v>6150</v>
      </c>
      <c r="B685" t="s">
        <v>3588</v>
      </c>
      <c r="C685" t="s">
        <v>255</v>
      </c>
      <c r="D685" t="s">
        <v>223</v>
      </c>
      <c r="E685" s="1">
        <v>46152</v>
      </c>
      <c r="F685" s="1">
        <v>46189</v>
      </c>
      <c r="G685" s="1">
        <v>46195</v>
      </c>
      <c r="H685">
        <v>4200</v>
      </c>
      <c r="I685" t="s">
        <v>38</v>
      </c>
      <c r="J685">
        <v>6</v>
      </c>
      <c r="K685">
        <v>25200</v>
      </c>
    </row>
    <row r="686" spans="1:11" x14ac:dyDescent="0.3">
      <c r="A686" t="s">
        <v>6151</v>
      </c>
      <c r="B686" t="s">
        <v>105</v>
      </c>
      <c r="C686" t="s">
        <v>270</v>
      </c>
      <c r="D686" t="s">
        <v>11</v>
      </c>
      <c r="E686" s="1">
        <v>46036</v>
      </c>
      <c r="F686" s="1">
        <v>46097</v>
      </c>
      <c r="G686" s="1"/>
      <c r="H686">
        <v>4000</v>
      </c>
      <c r="I686" t="s">
        <v>12</v>
      </c>
      <c r="J686">
        <v>5</v>
      </c>
      <c r="K686">
        <v>20000</v>
      </c>
    </row>
    <row r="687" spans="1:11" x14ac:dyDescent="0.3">
      <c r="A687" t="s">
        <v>1235</v>
      </c>
      <c r="B687" t="s">
        <v>4130</v>
      </c>
      <c r="C687" t="s">
        <v>526</v>
      </c>
      <c r="D687" t="s">
        <v>223</v>
      </c>
      <c r="E687" s="1">
        <v>46161</v>
      </c>
      <c r="F687" s="1">
        <v>46162</v>
      </c>
      <c r="G687" s="1"/>
      <c r="H687">
        <v>6200</v>
      </c>
      <c r="I687" t="s">
        <v>49</v>
      </c>
      <c r="J687">
        <v>6</v>
      </c>
      <c r="K687">
        <v>37200</v>
      </c>
    </row>
    <row r="688" spans="1:11" x14ac:dyDescent="0.3">
      <c r="A688" t="s">
        <v>1237</v>
      </c>
      <c r="B688" t="s">
        <v>2679</v>
      </c>
      <c r="C688" t="s">
        <v>22</v>
      </c>
      <c r="D688" t="s">
        <v>95</v>
      </c>
      <c r="E688" s="1">
        <v>46115</v>
      </c>
      <c r="F688" s="1">
        <v>46116</v>
      </c>
      <c r="G688" s="1">
        <v>46119</v>
      </c>
      <c r="H688">
        <v>7000</v>
      </c>
      <c r="I688" t="s">
        <v>38</v>
      </c>
      <c r="J688">
        <v>3</v>
      </c>
      <c r="K688">
        <v>21000</v>
      </c>
    </row>
    <row r="689" spans="1:11" x14ac:dyDescent="0.3">
      <c r="A689" t="s">
        <v>1239</v>
      </c>
      <c r="B689" t="s">
        <v>662</v>
      </c>
      <c r="C689" t="s">
        <v>240</v>
      </c>
      <c r="D689" t="s">
        <v>33</v>
      </c>
      <c r="E689" s="1">
        <v>46121</v>
      </c>
      <c r="F689" s="1">
        <v>46170</v>
      </c>
      <c r="G689" s="1"/>
      <c r="H689">
        <v>5400</v>
      </c>
      <c r="I689" t="s">
        <v>12</v>
      </c>
      <c r="J689">
        <v>1</v>
      </c>
      <c r="K689">
        <v>5400</v>
      </c>
    </row>
    <row r="690" spans="1:11" x14ac:dyDescent="0.3">
      <c r="A690" t="s">
        <v>6152</v>
      </c>
      <c r="B690" t="s">
        <v>1024</v>
      </c>
      <c r="C690" t="s">
        <v>240</v>
      </c>
      <c r="D690" t="s">
        <v>33</v>
      </c>
      <c r="E690" s="1">
        <v>46086</v>
      </c>
      <c r="F690" s="1">
        <v>46175</v>
      </c>
      <c r="G690" s="1"/>
      <c r="H690">
        <v>5400</v>
      </c>
      <c r="I690" t="s">
        <v>12</v>
      </c>
      <c r="J690">
        <v>3</v>
      </c>
      <c r="K690">
        <v>16200</v>
      </c>
    </row>
    <row r="691" spans="1:11" x14ac:dyDescent="0.3">
      <c r="A691" t="s">
        <v>1241</v>
      </c>
      <c r="B691" t="s">
        <v>3583</v>
      </c>
      <c r="C691" t="s">
        <v>294</v>
      </c>
      <c r="D691" t="s">
        <v>11</v>
      </c>
      <c r="E691" s="1">
        <v>46098</v>
      </c>
      <c r="F691" s="1">
        <v>46128</v>
      </c>
      <c r="G691" s="1"/>
      <c r="H691">
        <v>6400</v>
      </c>
      <c r="I691" t="s">
        <v>12</v>
      </c>
      <c r="J691">
        <v>7</v>
      </c>
      <c r="K691">
        <v>44800</v>
      </c>
    </row>
    <row r="692" spans="1:11" x14ac:dyDescent="0.3">
      <c r="A692" t="s">
        <v>6153</v>
      </c>
      <c r="B692" t="s">
        <v>114</v>
      </c>
      <c r="C692" t="s">
        <v>258</v>
      </c>
      <c r="D692" t="s">
        <v>95</v>
      </c>
      <c r="E692" s="1">
        <v>46050</v>
      </c>
      <c r="F692" s="1">
        <v>46105</v>
      </c>
      <c r="G692" s="1">
        <v>46110</v>
      </c>
      <c r="H692">
        <v>4700</v>
      </c>
      <c r="I692" t="s">
        <v>38</v>
      </c>
      <c r="J692">
        <v>5</v>
      </c>
      <c r="K692">
        <v>23500</v>
      </c>
    </row>
    <row r="693" spans="1:11" x14ac:dyDescent="0.3">
      <c r="A693" t="s">
        <v>6154</v>
      </c>
      <c r="B693" t="s">
        <v>1677</v>
      </c>
      <c r="C693" t="s">
        <v>222</v>
      </c>
      <c r="D693" t="s">
        <v>33</v>
      </c>
      <c r="E693" s="1">
        <v>46029</v>
      </c>
      <c r="F693" s="1">
        <v>46040</v>
      </c>
      <c r="G693" s="1"/>
      <c r="H693">
        <v>5200</v>
      </c>
      <c r="I693" t="s">
        <v>12</v>
      </c>
      <c r="J693">
        <v>3</v>
      </c>
      <c r="K693">
        <v>15600</v>
      </c>
    </row>
    <row r="694" spans="1:11" x14ac:dyDescent="0.3">
      <c r="A694" t="s">
        <v>1243</v>
      </c>
      <c r="B694" t="s">
        <v>668</v>
      </c>
      <c r="C694" t="s">
        <v>711</v>
      </c>
      <c r="D694" t="s">
        <v>42</v>
      </c>
      <c r="E694" s="1">
        <v>46149</v>
      </c>
      <c r="F694" s="1">
        <v>46149</v>
      </c>
      <c r="G694" s="1"/>
      <c r="H694">
        <v>7000</v>
      </c>
      <c r="I694" t="s">
        <v>49</v>
      </c>
      <c r="J694">
        <v>1</v>
      </c>
      <c r="K694">
        <v>7000</v>
      </c>
    </row>
    <row r="695" spans="1:11" x14ac:dyDescent="0.3">
      <c r="A695" t="s">
        <v>1245</v>
      </c>
      <c r="B695" t="s">
        <v>3133</v>
      </c>
      <c r="C695" t="s">
        <v>214</v>
      </c>
      <c r="D695" t="s">
        <v>19</v>
      </c>
      <c r="E695" s="1">
        <v>46196</v>
      </c>
      <c r="F695" s="1">
        <v>46279</v>
      </c>
      <c r="G695" s="1"/>
      <c r="H695">
        <v>4000</v>
      </c>
      <c r="I695" t="s">
        <v>12</v>
      </c>
      <c r="J695">
        <v>1</v>
      </c>
      <c r="K695">
        <v>4000</v>
      </c>
    </row>
    <row r="696" spans="1:11" x14ac:dyDescent="0.3">
      <c r="A696" t="s">
        <v>1247</v>
      </c>
      <c r="B696" t="s">
        <v>2528</v>
      </c>
      <c r="C696" t="s">
        <v>106</v>
      </c>
      <c r="D696" t="s">
        <v>33</v>
      </c>
      <c r="E696" s="1">
        <v>46053</v>
      </c>
      <c r="F696" s="1">
        <v>46141</v>
      </c>
      <c r="G696" s="1"/>
      <c r="H696">
        <v>4300</v>
      </c>
      <c r="I696" t="s">
        <v>12</v>
      </c>
      <c r="J696">
        <v>1</v>
      </c>
      <c r="K696">
        <v>4300</v>
      </c>
    </row>
    <row r="697" spans="1:11" x14ac:dyDescent="0.3">
      <c r="A697" t="s">
        <v>1249</v>
      </c>
      <c r="B697" t="s">
        <v>2135</v>
      </c>
      <c r="C697" t="s">
        <v>152</v>
      </c>
      <c r="D697" t="s">
        <v>19</v>
      </c>
      <c r="E697" s="1">
        <v>46098</v>
      </c>
      <c r="F697" s="1">
        <v>46146</v>
      </c>
      <c r="G697" s="1"/>
      <c r="H697">
        <v>7800</v>
      </c>
      <c r="I697" t="s">
        <v>12</v>
      </c>
      <c r="J697">
        <v>6</v>
      </c>
      <c r="K697">
        <v>46800</v>
      </c>
    </row>
    <row r="698" spans="1:11" x14ac:dyDescent="0.3">
      <c r="A698" t="s">
        <v>1251</v>
      </c>
      <c r="B698" t="s">
        <v>980</v>
      </c>
      <c r="C698" t="s">
        <v>214</v>
      </c>
      <c r="D698" t="s">
        <v>26</v>
      </c>
      <c r="E698" s="1">
        <v>46024</v>
      </c>
      <c r="F698" s="1">
        <v>46073</v>
      </c>
      <c r="G698" s="1"/>
      <c r="H698">
        <v>4000</v>
      </c>
      <c r="I698" t="s">
        <v>12</v>
      </c>
      <c r="J698">
        <v>6</v>
      </c>
      <c r="K698">
        <v>24000</v>
      </c>
    </row>
    <row r="699" spans="1:11" x14ac:dyDescent="0.3">
      <c r="A699" t="s">
        <v>1253</v>
      </c>
      <c r="B699" t="s">
        <v>664</v>
      </c>
      <c r="C699" t="s">
        <v>152</v>
      </c>
      <c r="D699" t="s">
        <v>26</v>
      </c>
      <c r="E699" s="1">
        <v>46091</v>
      </c>
      <c r="F699" s="1">
        <v>46108</v>
      </c>
      <c r="G699" s="1"/>
      <c r="H699">
        <v>7800</v>
      </c>
      <c r="I699" t="s">
        <v>12</v>
      </c>
      <c r="J699">
        <v>5</v>
      </c>
      <c r="K699">
        <v>39000</v>
      </c>
    </row>
    <row r="700" spans="1:11" x14ac:dyDescent="0.3">
      <c r="A700" t="s">
        <v>6155</v>
      </c>
      <c r="B700" t="s">
        <v>3704</v>
      </c>
      <c r="C700" t="s">
        <v>162</v>
      </c>
      <c r="D700" t="s">
        <v>19</v>
      </c>
      <c r="E700" s="1">
        <v>46039</v>
      </c>
      <c r="F700" s="1">
        <v>46057</v>
      </c>
      <c r="G700" s="1"/>
      <c r="H700">
        <v>8300</v>
      </c>
      <c r="I700" t="s">
        <v>12</v>
      </c>
      <c r="J700">
        <v>7</v>
      </c>
      <c r="K700">
        <v>58100</v>
      </c>
    </row>
    <row r="701" spans="1:11" x14ac:dyDescent="0.3">
      <c r="A701" t="s">
        <v>1255</v>
      </c>
      <c r="B701" t="s">
        <v>244</v>
      </c>
      <c r="C701" t="s">
        <v>18</v>
      </c>
      <c r="D701" t="s">
        <v>19</v>
      </c>
      <c r="E701" s="1">
        <v>46160</v>
      </c>
      <c r="F701" s="1">
        <v>46224</v>
      </c>
      <c r="G701" s="1"/>
      <c r="H701">
        <v>6900</v>
      </c>
      <c r="I701" t="s">
        <v>12</v>
      </c>
      <c r="J701">
        <v>5</v>
      </c>
      <c r="K701">
        <v>34500</v>
      </c>
    </row>
    <row r="702" spans="1:11" x14ac:dyDescent="0.3">
      <c r="A702" t="s">
        <v>1257</v>
      </c>
      <c r="B702" t="s">
        <v>871</v>
      </c>
      <c r="C702" t="s">
        <v>146</v>
      </c>
      <c r="D702" t="s">
        <v>33</v>
      </c>
      <c r="E702" s="1">
        <v>46085</v>
      </c>
      <c r="F702" s="1">
        <v>46147</v>
      </c>
      <c r="G702" s="1"/>
      <c r="H702">
        <v>4700</v>
      </c>
      <c r="I702" t="s">
        <v>12</v>
      </c>
      <c r="J702">
        <v>1</v>
      </c>
      <c r="K702">
        <v>4700</v>
      </c>
    </row>
    <row r="703" spans="1:11" x14ac:dyDescent="0.3">
      <c r="A703" t="s">
        <v>1259</v>
      </c>
      <c r="B703" t="s">
        <v>591</v>
      </c>
      <c r="C703" t="s">
        <v>263</v>
      </c>
      <c r="D703" t="s">
        <v>223</v>
      </c>
      <c r="E703" s="1">
        <v>46097</v>
      </c>
      <c r="F703" s="1">
        <v>46102</v>
      </c>
      <c r="G703" s="1">
        <v>46109</v>
      </c>
      <c r="H703">
        <v>4800</v>
      </c>
      <c r="I703" t="s">
        <v>38</v>
      </c>
      <c r="J703">
        <v>7</v>
      </c>
      <c r="K703">
        <v>33600</v>
      </c>
    </row>
    <row r="704" spans="1:11" x14ac:dyDescent="0.3">
      <c r="A704" t="s">
        <v>1261</v>
      </c>
      <c r="B704" t="s">
        <v>1098</v>
      </c>
      <c r="C704" t="s">
        <v>263</v>
      </c>
      <c r="D704" t="s">
        <v>19</v>
      </c>
      <c r="E704" s="1">
        <v>46196</v>
      </c>
      <c r="F704" s="1">
        <v>46251</v>
      </c>
      <c r="G704" s="1"/>
      <c r="H704">
        <v>4800</v>
      </c>
      <c r="I704" t="s">
        <v>12</v>
      </c>
      <c r="J704">
        <v>3</v>
      </c>
      <c r="K704">
        <v>14400</v>
      </c>
    </row>
    <row r="705" spans="1:11" x14ac:dyDescent="0.3">
      <c r="A705" t="s">
        <v>1263</v>
      </c>
      <c r="B705" t="s">
        <v>1118</v>
      </c>
      <c r="C705" t="s">
        <v>98</v>
      </c>
      <c r="D705" t="s">
        <v>19</v>
      </c>
      <c r="E705" s="1">
        <v>46105</v>
      </c>
      <c r="F705" s="1">
        <v>46138</v>
      </c>
      <c r="G705" s="1"/>
      <c r="H705">
        <v>6700</v>
      </c>
      <c r="I705" t="s">
        <v>12</v>
      </c>
      <c r="J705">
        <v>1</v>
      </c>
      <c r="K705">
        <v>6700</v>
      </c>
    </row>
    <row r="706" spans="1:11" x14ac:dyDescent="0.3">
      <c r="A706" t="s">
        <v>1265</v>
      </c>
      <c r="B706" t="s">
        <v>2551</v>
      </c>
      <c r="C706" t="s">
        <v>270</v>
      </c>
      <c r="D706" t="s">
        <v>26</v>
      </c>
      <c r="E706" s="1">
        <v>46195</v>
      </c>
      <c r="F706" s="1">
        <v>46206</v>
      </c>
      <c r="G706" s="1"/>
      <c r="H706">
        <v>4000</v>
      </c>
      <c r="I706" t="s">
        <v>12</v>
      </c>
      <c r="J706">
        <v>6</v>
      </c>
      <c r="K706">
        <v>24000</v>
      </c>
    </row>
    <row r="707" spans="1:11" x14ac:dyDescent="0.3">
      <c r="A707" t="s">
        <v>6156</v>
      </c>
      <c r="B707" t="s">
        <v>2697</v>
      </c>
      <c r="C707" t="s">
        <v>273</v>
      </c>
      <c r="D707" t="s">
        <v>237</v>
      </c>
      <c r="E707" s="1">
        <v>46184</v>
      </c>
      <c r="F707" s="1">
        <v>46196</v>
      </c>
      <c r="G707" s="1">
        <v>46200</v>
      </c>
      <c r="H707">
        <v>3700</v>
      </c>
      <c r="I707" t="s">
        <v>38</v>
      </c>
      <c r="J707">
        <v>4</v>
      </c>
      <c r="K707">
        <v>14800</v>
      </c>
    </row>
    <row r="708" spans="1:11" x14ac:dyDescent="0.3">
      <c r="A708" t="s">
        <v>1267</v>
      </c>
      <c r="B708" t="s">
        <v>2307</v>
      </c>
      <c r="C708" t="s">
        <v>211</v>
      </c>
      <c r="D708" t="s">
        <v>26</v>
      </c>
      <c r="E708" s="1">
        <v>46097</v>
      </c>
      <c r="F708" s="1">
        <v>46113</v>
      </c>
      <c r="G708" s="1"/>
      <c r="H708">
        <v>7200</v>
      </c>
      <c r="I708" t="s">
        <v>12</v>
      </c>
      <c r="J708">
        <v>2</v>
      </c>
      <c r="K708">
        <v>14400</v>
      </c>
    </row>
    <row r="709" spans="1:11" x14ac:dyDescent="0.3">
      <c r="A709" t="s">
        <v>1269</v>
      </c>
      <c r="B709" t="s">
        <v>1903</v>
      </c>
      <c r="C709" t="s">
        <v>165</v>
      </c>
      <c r="D709" t="s">
        <v>33</v>
      </c>
      <c r="E709" s="1">
        <v>46074</v>
      </c>
      <c r="F709" s="1">
        <v>46092</v>
      </c>
      <c r="G709" s="1"/>
      <c r="H709">
        <v>5200</v>
      </c>
      <c r="I709" t="s">
        <v>12</v>
      </c>
      <c r="J709">
        <v>1</v>
      </c>
      <c r="K709">
        <v>5200</v>
      </c>
    </row>
    <row r="710" spans="1:11" x14ac:dyDescent="0.3">
      <c r="A710" t="s">
        <v>6157</v>
      </c>
      <c r="B710" t="s">
        <v>3035</v>
      </c>
      <c r="C710" t="s">
        <v>122</v>
      </c>
      <c r="D710" t="s">
        <v>11</v>
      </c>
      <c r="E710" s="1">
        <v>46170</v>
      </c>
      <c r="F710" s="1">
        <v>46238</v>
      </c>
      <c r="G710" s="1"/>
      <c r="H710">
        <v>6900</v>
      </c>
      <c r="I710" t="s">
        <v>12</v>
      </c>
      <c r="J710">
        <v>1</v>
      </c>
      <c r="K710">
        <v>6900</v>
      </c>
    </row>
    <row r="711" spans="1:11" x14ac:dyDescent="0.3">
      <c r="A711" t="s">
        <v>1271</v>
      </c>
      <c r="B711" t="s">
        <v>2916</v>
      </c>
      <c r="C711" t="s">
        <v>424</v>
      </c>
      <c r="D711" t="s">
        <v>237</v>
      </c>
      <c r="E711" s="1">
        <v>46126</v>
      </c>
      <c r="F711" s="1">
        <v>46130</v>
      </c>
      <c r="G711" s="1">
        <v>46137</v>
      </c>
      <c r="H711">
        <v>7000</v>
      </c>
      <c r="I711" t="s">
        <v>38</v>
      </c>
      <c r="J711">
        <v>7</v>
      </c>
      <c r="K711">
        <v>49000</v>
      </c>
    </row>
    <row r="712" spans="1:11" x14ac:dyDescent="0.3">
      <c r="A712" t="s">
        <v>1273</v>
      </c>
      <c r="B712" t="s">
        <v>1557</v>
      </c>
      <c r="C712" t="s">
        <v>18</v>
      </c>
      <c r="D712" t="s">
        <v>19</v>
      </c>
      <c r="E712" s="1">
        <v>46096</v>
      </c>
      <c r="F712" s="1">
        <v>46137</v>
      </c>
      <c r="G712" s="1"/>
      <c r="H712">
        <v>6900</v>
      </c>
      <c r="I712" t="s">
        <v>12</v>
      </c>
      <c r="J712">
        <v>1</v>
      </c>
      <c r="K712">
        <v>6900</v>
      </c>
    </row>
    <row r="713" spans="1:11" x14ac:dyDescent="0.3">
      <c r="A713" t="s">
        <v>6158</v>
      </c>
      <c r="B713" t="s">
        <v>2440</v>
      </c>
      <c r="C713" t="s">
        <v>276</v>
      </c>
      <c r="D713" t="s">
        <v>26</v>
      </c>
      <c r="E713" s="1">
        <v>46110</v>
      </c>
      <c r="F713" s="1"/>
      <c r="G713" s="1"/>
      <c r="H713">
        <v>5000</v>
      </c>
      <c r="I713" t="s">
        <v>76</v>
      </c>
      <c r="J713">
        <v>0</v>
      </c>
      <c r="K713">
        <v>0</v>
      </c>
    </row>
    <row r="714" spans="1:11" x14ac:dyDescent="0.3">
      <c r="A714" t="s">
        <v>1275</v>
      </c>
      <c r="B714" t="s">
        <v>2567</v>
      </c>
      <c r="C714" t="s">
        <v>61</v>
      </c>
      <c r="D714" t="s">
        <v>11</v>
      </c>
      <c r="E714" s="1">
        <v>46160</v>
      </c>
      <c r="F714" s="1">
        <v>46240</v>
      </c>
      <c r="G714" s="1"/>
      <c r="H714">
        <v>3500</v>
      </c>
      <c r="I714" t="s">
        <v>12</v>
      </c>
      <c r="J714">
        <v>7</v>
      </c>
      <c r="K714">
        <v>24500</v>
      </c>
    </row>
    <row r="715" spans="1:11" x14ac:dyDescent="0.3">
      <c r="A715" t="s">
        <v>1277</v>
      </c>
      <c r="B715" t="s">
        <v>1481</v>
      </c>
      <c r="C715" t="s">
        <v>263</v>
      </c>
      <c r="D715" t="s">
        <v>11</v>
      </c>
      <c r="E715" s="1">
        <v>46137</v>
      </c>
      <c r="F715" s="1">
        <v>46183</v>
      </c>
      <c r="G715" s="1"/>
      <c r="H715">
        <v>4800</v>
      </c>
      <c r="I715" t="s">
        <v>12</v>
      </c>
      <c r="J715">
        <v>3</v>
      </c>
      <c r="K715">
        <v>14400</v>
      </c>
    </row>
    <row r="716" spans="1:11" x14ac:dyDescent="0.3">
      <c r="A716" t="s">
        <v>1279</v>
      </c>
      <c r="B716" t="s">
        <v>2226</v>
      </c>
      <c r="C716" t="s">
        <v>92</v>
      </c>
      <c r="D716" t="s">
        <v>48</v>
      </c>
      <c r="E716" s="1">
        <v>46111</v>
      </c>
      <c r="F716" s="1">
        <v>46138</v>
      </c>
      <c r="G716" s="1">
        <v>46145</v>
      </c>
      <c r="H716">
        <v>4200</v>
      </c>
      <c r="I716" t="s">
        <v>38</v>
      </c>
      <c r="J716">
        <v>7</v>
      </c>
      <c r="K716">
        <v>29400</v>
      </c>
    </row>
    <row r="717" spans="1:11" x14ac:dyDescent="0.3">
      <c r="A717" t="s">
        <v>6159</v>
      </c>
      <c r="B717" t="s">
        <v>257</v>
      </c>
      <c r="C717" t="s">
        <v>214</v>
      </c>
      <c r="D717" t="s">
        <v>11</v>
      </c>
      <c r="E717" s="1">
        <v>46111</v>
      </c>
      <c r="F717" s="1">
        <v>46163</v>
      </c>
      <c r="G717" s="1"/>
      <c r="H717">
        <v>4000</v>
      </c>
      <c r="I717" t="s">
        <v>12</v>
      </c>
      <c r="J717">
        <v>2</v>
      </c>
      <c r="K717">
        <v>8000</v>
      </c>
    </row>
    <row r="718" spans="1:11" x14ac:dyDescent="0.3">
      <c r="A718" t="s">
        <v>1281</v>
      </c>
      <c r="B718" t="s">
        <v>2843</v>
      </c>
      <c r="C718" t="s">
        <v>366</v>
      </c>
      <c r="D718" t="s">
        <v>19</v>
      </c>
      <c r="E718" s="1">
        <v>46112</v>
      </c>
      <c r="F718" s="1">
        <v>46149</v>
      </c>
      <c r="G718" s="1"/>
      <c r="H718">
        <v>7700</v>
      </c>
      <c r="I718" t="s">
        <v>12</v>
      </c>
      <c r="J718">
        <v>7</v>
      </c>
      <c r="K718">
        <v>53900</v>
      </c>
    </row>
    <row r="719" spans="1:11" x14ac:dyDescent="0.3">
      <c r="A719" t="s">
        <v>6160</v>
      </c>
      <c r="B719" t="s">
        <v>1901</v>
      </c>
      <c r="C719" t="s">
        <v>41</v>
      </c>
      <c r="D719" t="s">
        <v>37</v>
      </c>
      <c r="E719" s="1">
        <v>46124</v>
      </c>
      <c r="F719" s="1">
        <v>46126</v>
      </c>
      <c r="G719" s="1">
        <v>46131</v>
      </c>
      <c r="H719">
        <v>5500</v>
      </c>
      <c r="I719" t="s">
        <v>38</v>
      </c>
      <c r="J719">
        <v>5</v>
      </c>
      <c r="K719">
        <v>27500</v>
      </c>
    </row>
    <row r="720" spans="1:11" x14ac:dyDescent="0.3">
      <c r="A720" t="s">
        <v>1283</v>
      </c>
      <c r="B720" t="s">
        <v>1359</v>
      </c>
      <c r="C720" t="s">
        <v>400</v>
      </c>
      <c r="D720" t="s">
        <v>48</v>
      </c>
      <c r="E720" s="1">
        <v>46070</v>
      </c>
      <c r="F720" s="1">
        <v>46096</v>
      </c>
      <c r="G720" s="1">
        <v>46103</v>
      </c>
      <c r="H720">
        <v>4200</v>
      </c>
      <c r="I720" t="s">
        <v>38</v>
      </c>
      <c r="J720">
        <v>7</v>
      </c>
      <c r="K720">
        <v>29400</v>
      </c>
    </row>
    <row r="721" spans="1:11" x14ac:dyDescent="0.3">
      <c r="A721" t="s">
        <v>1285</v>
      </c>
      <c r="B721" t="s">
        <v>3804</v>
      </c>
      <c r="C721" t="s">
        <v>245</v>
      </c>
      <c r="D721" t="s">
        <v>48</v>
      </c>
      <c r="E721" s="1">
        <v>46189</v>
      </c>
      <c r="F721" s="1">
        <v>46239</v>
      </c>
      <c r="G721" s="1">
        <v>46240</v>
      </c>
      <c r="H721">
        <v>8300</v>
      </c>
      <c r="I721" t="s">
        <v>38</v>
      </c>
      <c r="J721">
        <v>1</v>
      </c>
      <c r="K721">
        <v>8300</v>
      </c>
    </row>
    <row r="722" spans="1:11" x14ac:dyDescent="0.3">
      <c r="A722" t="s">
        <v>6161</v>
      </c>
      <c r="B722" t="s">
        <v>2751</v>
      </c>
      <c r="C722" t="s">
        <v>896</v>
      </c>
      <c r="D722" t="s">
        <v>26</v>
      </c>
      <c r="E722" s="1">
        <v>46086</v>
      </c>
      <c r="F722" s="1">
        <v>46148</v>
      </c>
      <c r="G722" s="1"/>
      <c r="H722">
        <v>6200</v>
      </c>
      <c r="I722" t="s">
        <v>12</v>
      </c>
      <c r="J722">
        <v>3</v>
      </c>
      <c r="K722">
        <v>18600</v>
      </c>
    </row>
    <row r="723" spans="1:11" x14ac:dyDescent="0.3">
      <c r="A723" t="s">
        <v>6162</v>
      </c>
      <c r="B723" t="s">
        <v>530</v>
      </c>
      <c r="C723" t="s">
        <v>162</v>
      </c>
      <c r="D723" t="s">
        <v>11</v>
      </c>
      <c r="E723" s="1">
        <v>46056</v>
      </c>
      <c r="F723" s="1">
        <v>46110</v>
      </c>
      <c r="G723" s="1"/>
      <c r="H723">
        <v>8300</v>
      </c>
      <c r="I723" t="s">
        <v>12</v>
      </c>
      <c r="J723">
        <v>5</v>
      </c>
      <c r="K723">
        <v>41500</v>
      </c>
    </row>
    <row r="724" spans="1:11" x14ac:dyDescent="0.3">
      <c r="A724" t="s">
        <v>6163</v>
      </c>
      <c r="B724" t="s">
        <v>3309</v>
      </c>
      <c r="C724" t="s">
        <v>499</v>
      </c>
      <c r="D724" t="s">
        <v>33</v>
      </c>
      <c r="E724" s="1">
        <v>46173</v>
      </c>
      <c r="F724" s="1">
        <v>46228</v>
      </c>
      <c r="G724" s="1"/>
      <c r="H724">
        <v>7700</v>
      </c>
      <c r="I724" t="s">
        <v>12</v>
      </c>
      <c r="J724">
        <v>4</v>
      </c>
      <c r="K724">
        <v>30800</v>
      </c>
    </row>
    <row r="725" spans="1:11" x14ac:dyDescent="0.3">
      <c r="A725" t="s">
        <v>1287</v>
      </c>
      <c r="B725" t="s">
        <v>2980</v>
      </c>
      <c r="C725" t="s">
        <v>594</v>
      </c>
      <c r="D725" t="s">
        <v>19</v>
      </c>
      <c r="E725" s="1">
        <v>46081</v>
      </c>
      <c r="F725" s="1">
        <v>46101</v>
      </c>
      <c r="G725" s="1"/>
      <c r="H725">
        <v>6500</v>
      </c>
      <c r="I725" t="s">
        <v>12</v>
      </c>
      <c r="J725">
        <v>3</v>
      </c>
      <c r="K725">
        <v>19500</v>
      </c>
    </row>
    <row r="726" spans="1:11" x14ac:dyDescent="0.3">
      <c r="A726" t="s">
        <v>6164</v>
      </c>
      <c r="B726" t="s">
        <v>2657</v>
      </c>
      <c r="C726" t="s">
        <v>424</v>
      </c>
      <c r="D726" t="s">
        <v>42</v>
      </c>
      <c r="E726" s="1">
        <v>46037</v>
      </c>
      <c r="F726" s="1">
        <v>46094</v>
      </c>
      <c r="G726" s="1">
        <v>46099</v>
      </c>
      <c r="H726">
        <v>7000</v>
      </c>
      <c r="I726" t="s">
        <v>38</v>
      </c>
      <c r="J726">
        <v>5</v>
      </c>
      <c r="K726">
        <v>35000</v>
      </c>
    </row>
    <row r="727" spans="1:11" x14ac:dyDescent="0.3">
      <c r="A727" t="s">
        <v>6165</v>
      </c>
      <c r="B727" t="s">
        <v>3968</v>
      </c>
      <c r="C727" t="s">
        <v>18</v>
      </c>
      <c r="D727" t="s">
        <v>26</v>
      </c>
      <c r="E727" s="1">
        <v>46092</v>
      </c>
      <c r="F727" s="1">
        <v>46141</v>
      </c>
      <c r="G727" s="1"/>
      <c r="H727">
        <v>6900</v>
      </c>
      <c r="I727" t="s">
        <v>12</v>
      </c>
      <c r="J727">
        <v>6</v>
      </c>
      <c r="K727">
        <v>41400</v>
      </c>
    </row>
    <row r="728" spans="1:11" x14ac:dyDescent="0.3">
      <c r="A728" t="s">
        <v>6166</v>
      </c>
      <c r="B728" t="s">
        <v>966</v>
      </c>
      <c r="C728" t="s">
        <v>106</v>
      </c>
      <c r="D728" t="s">
        <v>19</v>
      </c>
      <c r="E728" s="1">
        <v>46176</v>
      </c>
      <c r="F728" s="1">
        <v>46240</v>
      </c>
      <c r="G728" s="1"/>
      <c r="H728">
        <v>4300</v>
      </c>
      <c r="I728" t="s">
        <v>12</v>
      </c>
      <c r="J728">
        <v>6</v>
      </c>
      <c r="K728">
        <v>25800</v>
      </c>
    </row>
    <row r="729" spans="1:11" x14ac:dyDescent="0.3">
      <c r="A729" t="s">
        <v>6167</v>
      </c>
      <c r="B729" t="s">
        <v>2132</v>
      </c>
      <c r="C729" t="s">
        <v>61</v>
      </c>
      <c r="D729" t="s">
        <v>95</v>
      </c>
      <c r="E729" s="1">
        <v>46107</v>
      </c>
      <c r="F729" s="1">
        <v>46160</v>
      </c>
      <c r="G729" s="1">
        <v>46167</v>
      </c>
      <c r="H729">
        <v>3500</v>
      </c>
      <c r="I729" t="s">
        <v>38</v>
      </c>
      <c r="J729">
        <v>7</v>
      </c>
      <c r="K729">
        <v>24500</v>
      </c>
    </row>
    <row r="730" spans="1:11" x14ac:dyDescent="0.3">
      <c r="A730" t="s">
        <v>1289</v>
      </c>
      <c r="B730" t="s">
        <v>2632</v>
      </c>
      <c r="C730" t="s">
        <v>45</v>
      </c>
      <c r="D730" t="s">
        <v>11</v>
      </c>
      <c r="E730" s="1">
        <v>46097</v>
      </c>
      <c r="F730" s="1">
        <v>46169</v>
      </c>
      <c r="G730" s="1"/>
      <c r="H730">
        <v>7700</v>
      </c>
      <c r="I730" t="s">
        <v>12</v>
      </c>
      <c r="J730">
        <v>2</v>
      </c>
      <c r="K730">
        <v>15400</v>
      </c>
    </row>
    <row r="731" spans="1:11" x14ac:dyDescent="0.3">
      <c r="A731" t="s">
        <v>6168</v>
      </c>
      <c r="B731" t="s">
        <v>4242</v>
      </c>
      <c r="C731" t="s">
        <v>81</v>
      </c>
      <c r="D731" t="s">
        <v>26</v>
      </c>
      <c r="E731" s="1">
        <v>46105</v>
      </c>
      <c r="F731" s="1">
        <v>46140</v>
      </c>
      <c r="G731" s="1"/>
      <c r="H731">
        <v>4200</v>
      </c>
      <c r="I731" t="s">
        <v>12</v>
      </c>
      <c r="J731">
        <v>4</v>
      </c>
      <c r="K731">
        <v>16800</v>
      </c>
    </row>
    <row r="732" spans="1:11" x14ac:dyDescent="0.3">
      <c r="A732" t="s">
        <v>1291</v>
      </c>
      <c r="B732" t="s">
        <v>3737</v>
      </c>
      <c r="C732" t="s">
        <v>18</v>
      </c>
      <c r="D732" t="s">
        <v>33</v>
      </c>
      <c r="E732" s="1">
        <v>46145</v>
      </c>
      <c r="F732" s="1">
        <v>46204</v>
      </c>
      <c r="G732" s="1"/>
      <c r="H732">
        <v>6900</v>
      </c>
      <c r="I732" t="s">
        <v>12</v>
      </c>
      <c r="J732">
        <v>5</v>
      </c>
      <c r="K732">
        <v>34500</v>
      </c>
    </row>
    <row r="733" spans="1:11" x14ac:dyDescent="0.3">
      <c r="A733" t="s">
        <v>1293</v>
      </c>
      <c r="B733" t="s">
        <v>1359</v>
      </c>
      <c r="C733" t="s">
        <v>84</v>
      </c>
      <c r="D733" t="s">
        <v>223</v>
      </c>
      <c r="E733" s="1">
        <v>46081</v>
      </c>
      <c r="F733" s="1">
        <v>46081</v>
      </c>
      <c r="G733" s="1"/>
      <c r="H733">
        <v>5200</v>
      </c>
      <c r="I733" t="s">
        <v>49</v>
      </c>
      <c r="J733">
        <v>4</v>
      </c>
      <c r="K733">
        <v>20800</v>
      </c>
    </row>
    <row r="734" spans="1:11" x14ac:dyDescent="0.3">
      <c r="A734" t="s">
        <v>6169</v>
      </c>
      <c r="B734" t="s">
        <v>2647</v>
      </c>
      <c r="C734" t="s">
        <v>424</v>
      </c>
      <c r="D734" t="s">
        <v>11</v>
      </c>
      <c r="E734" s="1">
        <v>46025</v>
      </c>
      <c r="F734" s="1"/>
      <c r="G734" s="1"/>
      <c r="H734">
        <v>7000</v>
      </c>
      <c r="I734" t="s">
        <v>76</v>
      </c>
      <c r="J734">
        <v>0</v>
      </c>
      <c r="K734">
        <v>0</v>
      </c>
    </row>
    <row r="735" spans="1:11" x14ac:dyDescent="0.3">
      <c r="A735" t="s">
        <v>1295</v>
      </c>
      <c r="B735" t="s">
        <v>562</v>
      </c>
      <c r="C735" t="s">
        <v>211</v>
      </c>
      <c r="D735" t="s">
        <v>11</v>
      </c>
      <c r="E735" s="1">
        <v>46138</v>
      </c>
      <c r="F735" s="1">
        <v>46216</v>
      </c>
      <c r="G735" s="1"/>
      <c r="H735">
        <v>7200</v>
      </c>
      <c r="I735" t="s">
        <v>12</v>
      </c>
      <c r="J735">
        <v>2</v>
      </c>
      <c r="K735">
        <v>14400</v>
      </c>
    </row>
    <row r="736" spans="1:11" x14ac:dyDescent="0.3">
      <c r="A736" t="s">
        <v>1297</v>
      </c>
      <c r="B736" t="s">
        <v>1090</v>
      </c>
      <c r="C736" t="s">
        <v>15</v>
      </c>
      <c r="D736" t="s">
        <v>26</v>
      </c>
      <c r="E736" s="1">
        <v>46192</v>
      </c>
      <c r="F736" s="1"/>
      <c r="G736" s="1"/>
      <c r="H736">
        <v>6500</v>
      </c>
      <c r="I736" t="s">
        <v>76</v>
      </c>
      <c r="J736">
        <v>0</v>
      </c>
      <c r="K736">
        <v>0</v>
      </c>
    </row>
    <row r="737" spans="1:11" x14ac:dyDescent="0.3">
      <c r="A737" t="s">
        <v>1299</v>
      </c>
      <c r="B737" t="s">
        <v>606</v>
      </c>
      <c r="C737" t="s">
        <v>594</v>
      </c>
      <c r="D737" t="s">
        <v>19</v>
      </c>
      <c r="E737" s="1">
        <v>46157</v>
      </c>
      <c r="F737" s="1">
        <v>46197</v>
      </c>
      <c r="G737" s="1"/>
      <c r="H737">
        <v>6500</v>
      </c>
      <c r="I737" t="s">
        <v>12</v>
      </c>
      <c r="J737">
        <v>1</v>
      </c>
      <c r="K737">
        <v>6500</v>
      </c>
    </row>
    <row r="738" spans="1:11" x14ac:dyDescent="0.3">
      <c r="A738" t="s">
        <v>6170</v>
      </c>
      <c r="B738" t="s">
        <v>1635</v>
      </c>
      <c r="C738" t="s">
        <v>366</v>
      </c>
      <c r="D738" t="s">
        <v>26</v>
      </c>
      <c r="E738" s="1">
        <v>46112</v>
      </c>
      <c r="F738" s="1">
        <v>46153</v>
      </c>
      <c r="G738" s="1"/>
      <c r="H738">
        <v>7700</v>
      </c>
      <c r="I738" t="s">
        <v>12</v>
      </c>
      <c r="J738">
        <v>1</v>
      </c>
      <c r="K738">
        <v>7700</v>
      </c>
    </row>
    <row r="739" spans="1:11" x14ac:dyDescent="0.3">
      <c r="A739" t="s">
        <v>1301</v>
      </c>
      <c r="B739" t="s">
        <v>1729</v>
      </c>
      <c r="C739" t="s">
        <v>343</v>
      </c>
      <c r="D739" t="s">
        <v>11</v>
      </c>
      <c r="E739" s="1">
        <v>46171</v>
      </c>
      <c r="F739" s="1">
        <v>46261</v>
      </c>
      <c r="G739" s="1"/>
      <c r="H739">
        <v>7000</v>
      </c>
      <c r="I739" t="s">
        <v>12</v>
      </c>
      <c r="J739">
        <v>5</v>
      </c>
      <c r="K739">
        <v>35000</v>
      </c>
    </row>
    <row r="740" spans="1:11" x14ac:dyDescent="0.3">
      <c r="A740" t="s">
        <v>1303</v>
      </c>
      <c r="B740" t="s">
        <v>2390</v>
      </c>
      <c r="C740" t="s">
        <v>54</v>
      </c>
      <c r="D740" t="s">
        <v>19</v>
      </c>
      <c r="E740" s="1">
        <v>46042</v>
      </c>
      <c r="F740" s="1">
        <v>46081</v>
      </c>
      <c r="G740" s="1"/>
      <c r="H740">
        <v>7500</v>
      </c>
      <c r="I740" t="s">
        <v>12</v>
      </c>
      <c r="J740">
        <v>2</v>
      </c>
      <c r="K740">
        <v>15000</v>
      </c>
    </row>
    <row r="741" spans="1:11" x14ac:dyDescent="0.3">
      <c r="A741" t="s">
        <v>6171</v>
      </c>
      <c r="B741" t="s">
        <v>2534</v>
      </c>
      <c r="C741" t="s">
        <v>211</v>
      </c>
      <c r="D741" t="s">
        <v>26</v>
      </c>
      <c r="E741" s="1">
        <v>46134</v>
      </c>
      <c r="F741" s="1">
        <v>46217</v>
      </c>
      <c r="G741" s="1"/>
      <c r="H741">
        <v>7200</v>
      </c>
      <c r="I741" t="s">
        <v>12</v>
      </c>
      <c r="J741">
        <v>2</v>
      </c>
      <c r="K741">
        <v>14400</v>
      </c>
    </row>
    <row r="742" spans="1:11" x14ac:dyDescent="0.3">
      <c r="A742" t="s">
        <v>1305</v>
      </c>
      <c r="B742" t="s">
        <v>2135</v>
      </c>
      <c r="C742" t="s">
        <v>36</v>
      </c>
      <c r="D742" t="s">
        <v>58</v>
      </c>
      <c r="E742" s="1">
        <v>46107</v>
      </c>
      <c r="F742" s="1">
        <v>46164</v>
      </c>
      <c r="G742" s="1">
        <v>46165</v>
      </c>
      <c r="H742">
        <v>7000</v>
      </c>
      <c r="I742" t="s">
        <v>38</v>
      </c>
      <c r="J742">
        <v>1</v>
      </c>
      <c r="K742">
        <v>7000</v>
      </c>
    </row>
    <row r="743" spans="1:11" x14ac:dyDescent="0.3">
      <c r="A743" t="s">
        <v>6172</v>
      </c>
      <c r="B743" t="s">
        <v>2524</v>
      </c>
      <c r="C743" t="s">
        <v>22</v>
      </c>
      <c r="D743" t="s">
        <v>33</v>
      </c>
      <c r="E743" s="1">
        <v>46131</v>
      </c>
      <c r="F743" s="1">
        <v>46202</v>
      </c>
      <c r="G743" s="1"/>
      <c r="H743">
        <v>7000</v>
      </c>
      <c r="I743" t="s">
        <v>12</v>
      </c>
      <c r="J743">
        <v>7</v>
      </c>
      <c r="K743">
        <v>49000</v>
      </c>
    </row>
    <row r="744" spans="1:11" x14ac:dyDescent="0.3">
      <c r="A744" t="s">
        <v>1307</v>
      </c>
      <c r="B744" t="s">
        <v>2497</v>
      </c>
      <c r="C744" t="s">
        <v>255</v>
      </c>
      <c r="D744" t="s">
        <v>11</v>
      </c>
      <c r="E744" s="1">
        <v>46082</v>
      </c>
      <c r="F744" s="1">
        <v>46156</v>
      </c>
      <c r="G744" s="1"/>
      <c r="H744">
        <v>4200</v>
      </c>
      <c r="I744" t="s">
        <v>12</v>
      </c>
      <c r="J744">
        <v>1</v>
      </c>
      <c r="K744">
        <v>4200</v>
      </c>
    </row>
    <row r="745" spans="1:11" x14ac:dyDescent="0.3">
      <c r="A745" t="s">
        <v>6173</v>
      </c>
      <c r="B745" t="s">
        <v>1028</v>
      </c>
      <c r="C745" t="s">
        <v>896</v>
      </c>
      <c r="D745" t="s">
        <v>19</v>
      </c>
      <c r="E745" s="1">
        <v>46055</v>
      </c>
      <c r="F745" s="1">
        <v>46128</v>
      </c>
      <c r="G745" s="1"/>
      <c r="H745">
        <v>6200</v>
      </c>
      <c r="I745" t="s">
        <v>12</v>
      </c>
      <c r="J745">
        <v>5</v>
      </c>
      <c r="K745">
        <v>31000</v>
      </c>
    </row>
    <row r="746" spans="1:11" x14ac:dyDescent="0.3">
      <c r="A746" t="s">
        <v>1309</v>
      </c>
      <c r="B746" t="s">
        <v>741</v>
      </c>
      <c r="C746" t="s">
        <v>245</v>
      </c>
      <c r="D746" t="s">
        <v>26</v>
      </c>
      <c r="E746" s="1">
        <v>46136</v>
      </c>
      <c r="F746" s="1">
        <v>46212</v>
      </c>
      <c r="G746" s="1"/>
      <c r="H746">
        <v>8300</v>
      </c>
      <c r="I746" t="s">
        <v>12</v>
      </c>
      <c r="J746">
        <v>2</v>
      </c>
      <c r="K746">
        <v>16600</v>
      </c>
    </row>
    <row r="747" spans="1:11" x14ac:dyDescent="0.3">
      <c r="A747" t="s">
        <v>1311</v>
      </c>
      <c r="B747" t="s">
        <v>2792</v>
      </c>
      <c r="C747" t="s">
        <v>98</v>
      </c>
      <c r="D747" t="s">
        <v>26</v>
      </c>
      <c r="E747" s="1">
        <v>46089</v>
      </c>
      <c r="F747" s="1">
        <v>46164</v>
      </c>
      <c r="G747" s="1"/>
      <c r="H747">
        <v>6700</v>
      </c>
      <c r="I747" t="s">
        <v>12</v>
      </c>
      <c r="J747">
        <v>3</v>
      </c>
      <c r="K747">
        <v>20100</v>
      </c>
    </row>
    <row r="748" spans="1:11" x14ac:dyDescent="0.3">
      <c r="A748" t="s">
        <v>6174</v>
      </c>
      <c r="B748" t="s">
        <v>3742</v>
      </c>
      <c r="C748" t="s">
        <v>84</v>
      </c>
      <c r="D748" t="s">
        <v>33</v>
      </c>
      <c r="E748" s="1">
        <v>46071</v>
      </c>
      <c r="F748" s="1"/>
      <c r="G748" s="1"/>
      <c r="H748">
        <v>5200</v>
      </c>
      <c r="I748" t="s">
        <v>76</v>
      </c>
      <c r="J748">
        <v>0</v>
      </c>
      <c r="K748">
        <v>0</v>
      </c>
    </row>
    <row r="749" spans="1:11" x14ac:dyDescent="0.3">
      <c r="A749" t="s">
        <v>1313</v>
      </c>
      <c r="B749" t="s">
        <v>3940</v>
      </c>
      <c r="C749" t="s">
        <v>258</v>
      </c>
      <c r="D749" t="s">
        <v>26</v>
      </c>
      <c r="E749" s="1">
        <v>46072</v>
      </c>
      <c r="F749" s="1">
        <v>46089</v>
      </c>
      <c r="G749" s="1"/>
      <c r="H749">
        <v>4700</v>
      </c>
      <c r="I749" t="s">
        <v>12</v>
      </c>
      <c r="J749">
        <v>5</v>
      </c>
      <c r="K749">
        <v>23500</v>
      </c>
    </row>
    <row r="750" spans="1:11" x14ac:dyDescent="0.3">
      <c r="A750" t="s">
        <v>1315</v>
      </c>
      <c r="B750" t="s">
        <v>4445</v>
      </c>
      <c r="C750" t="s">
        <v>64</v>
      </c>
      <c r="D750" t="s">
        <v>26</v>
      </c>
      <c r="E750" s="1">
        <v>46102</v>
      </c>
      <c r="F750" s="1">
        <v>46156</v>
      </c>
      <c r="G750" s="1"/>
      <c r="H750">
        <v>4700</v>
      </c>
      <c r="I750" t="s">
        <v>12</v>
      </c>
      <c r="J750">
        <v>2</v>
      </c>
      <c r="K750">
        <v>9400</v>
      </c>
    </row>
    <row r="751" spans="1:11" x14ac:dyDescent="0.3">
      <c r="A751" t="s">
        <v>1317</v>
      </c>
      <c r="B751" t="s">
        <v>374</v>
      </c>
      <c r="C751" t="s">
        <v>263</v>
      </c>
      <c r="D751" t="s">
        <v>19</v>
      </c>
      <c r="E751" s="1">
        <v>46043</v>
      </c>
      <c r="F751" s="1">
        <v>46130</v>
      </c>
      <c r="G751" s="1"/>
      <c r="H751">
        <v>4800</v>
      </c>
      <c r="I751" t="s">
        <v>12</v>
      </c>
      <c r="J751">
        <v>4</v>
      </c>
      <c r="K751">
        <v>19200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F5AA-82CE-455C-A5BB-CDC8E56ABFA3}">
  <dimension ref="A1:V607"/>
  <sheetViews>
    <sheetView tabSelected="1" topLeftCell="H187" workbookViewId="0">
      <selection activeCell="O21" sqref="O21"/>
    </sheetView>
  </sheetViews>
  <sheetFormatPr defaultRowHeight="14.4" x14ac:dyDescent="0.3"/>
  <cols>
    <col min="1" max="1" width="13.109375" bestFit="1" customWidth="1"/>
    <col min="2" max="2" width="12.33203125" bestFit="1" customWidth="1"/>
    <col min="3" max="3" width="10.6640625" bestFit="1" customWidth="1"/>
    <col min="4" max="4" width="15.33203125" bestFit="1" customWidth="1"/>
    <col min="5" max="5" width="16" bestFit="1" customWidth="1"/>
    <col min="6" max="6" width="16.33203125" bestFit="1" customWidth="1"/>
    <col min="7" max="7" width="14.21875" style="3" bestFit="1" customWidth="1"/>
    <col min="8" max="8" width="19.44140625" bestFit="1" customWidth="1"/>
    <col min="9" max="9" width="15.33203125" bestFit="1" customWidth="1"/>
    <col min="10" max="10" width="20.44140625" bestFit="1" customWidth="1"/>
    <col min="11" max="11" width="14.109375" bestFit="1" customWidth="1"/>
    <col min="12" max="12" width="17.6640625" bestFit="1" customWidth="1"/>
    <col min="13" max="13" width="15.5546875" customWidth="1"/>
    <col min="14" max="14" width="10.21875" bestFit="1" customWidth="1"/>
    <col min="15" max="15" width="8.88671875" bestFit="1" customWidth="1"/>
    <col min="16" max="16" width="13.109375" bestFit="1" customWidth="1"/>
  </cols>
  <sheetData>
    <row r="1" spans="1:22" x14ac:dyDescent="0.3">
      <c r="A1" t="s">
        <v>4782</v>
      </c>
      <c r="B1" t="s">
        <v>0</v>
      </c>
      <c r="C1" t="s">
        <v>6176</v>
      </c>
      <c r="D1" t="s">
        <v>4783</v>
      </c>
      <c r="E1" t="s">
        <v>7</v>
      </c>
      <c r="F1" t="s">
        <v>6177</v>
      </c>
      <c r="G1" s="3" t="s">
        <v>6184</v>
      </c>
      <c r="H1" t="s">
        <v>6185</v>
      </c>
      <c r="I1" t="s">
        <v>6188</v>
      </c>
      <c r="J1" t="s">
        <v>6189</v>
      </c>
      <c r="K1" t="s">
        <v>6179</v>
      </c>
      <c r="L1" t="s">
        <v>4784</v>
      </c>
      <c r="M1" t="s">
        <v>4785</v>
      </c>
    </row>
    <row r="2" spans="1:22" x14ac:dyDescent="0.3">
      <c r="A2" t="s">
        <v>4786</v>
      </c>
      <c r="B2" t="s">
        <v>8</v>
      </c>
      <c r="C2" t="s">
        <v>1689</v>
      </c>
      <c r="D2" s="1">
        <v>46038</v>
      </c>
      <c r="E2" t="s">
        <v>38</v>
      </c>
      <c r="F2" t="s">
        <v>6180</v>
      </c>
      <c r="G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35000</v>
      </c>
      <c r="H2">
        <f>Payment_Dataset[[#This Row],[Total Amount]]-Payment_Dataset[[#This Row],[Amount_Paid]]</f>
        <v>0</v>
      </c>
      <c r="I2">
        <v>35000</v>
      </c>
      <c r="J2">
        <v>0</v>
      </c>
      <c r="K2">
        <v>35000</v>
      </c>
      <c r="L2" t="s">
        <v>4787</v>
      </c>
      <c r="M2" t="s">
        <v>4788</v>
      </c>
    </row>
    <row r="3" spans="1:22" x14ac:dyDescent="0.3">
      <c r="A3" t="s">
        <v>4789</v>
      </c>
      <c r="B3" t="s">
        <v>13</v>
      </c>
      <c r="C3" t="s">
        <v>1893</v>
      </c>
      <c r="D3" s="1">
        <v>46132</v>
      </c>
      <c r="E3" t="s">
        <v>12</v>
      </c>
      <c r="F3" t="s">
        <v>6181</v>
      </c>
      <c r="G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">
        <f>Payment_Dataset[[#This Row],[Total Amount]]-Payment_Dataset[[#This Row],[Amount_Paid]]</f>
        <v>25200</v>
      </c>
      <c r="I3">
        <v>0</v>
      </c>
      <c r="J3">
        <v>25200</v>
      </c>
      <c r="K3">
        <v>25200</v>
      </c>
      <c r="L3" t="s">
        <v>4787</v>
      </c>
      <c r="M3" t="s">
        <v>4791</v>
      </c>
    </row>
    <row r="4" spans="1:22" x14ac:dyDescent="0.3">
      <c r="A4" t="s">
        <v>4792</v>
      </c>
      <c r="B4" t="s">
        <v>16</v>
      </c>
      <c r="C4" t="s">
        <v>2396</v>
      </c>
      <c r="D4" s="1">
        <v>46051</v>
      </c>
      <c r="E4" t="s">
        <v>38</v>
      </c>
      <c r="F4" t="s">
        <v>6180</v>
      </c>
      <c r="G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5200</v>
      </c>
      <c r="H4">
        <f>Payment_Dataset[[#This Row],[Total Amount]]-Payment_Dataset[[#This Row],[Amount_Paid]]</f>
        <v>0</v>
      </c>
      <c r="I4">
        <v>5200</v>
      </c>
      <c r="J4">
        <v>0</v>
      </c>
      <c r="K4">
        <v>5200</v>
      </c>
      <c r="L4" t="s">
        <v>4793</v>
      </c>
      <c r="M4" t="s">
        <v>4794</v>
      </c>
    </row>
    <row r="5" spans="1:22" x14ac:dyDescent="0.3">
      <c r="A5" t="s">
        <v>4795</v>
      </c>
      <c r="B5" t="s">
        <v>20</v>
      </c>
      <c r="C5" t="s">
        <v>2972</v>
      </c>
      <c r="D5" s="1">
        <v>46023</v>
      </c>
      <c r="E5" t="s">
        <v>49</v>
      </c>
      <c r="F5" t="s">
        <v>6182</v>
      </c>
      <c r="G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18865</v>
      </c>
      <c r="H5">
        <f>Payment_Dataset[[#This Row],[Total Amount]]-Payment_Dataset[[#This Row],[Amount_Paid]]</f>
        <v>35035</v>
      </c>
      <c r="I5">
        <v>18865</v>
      </c>
      <c r="J5">
        <v>35035</v>
      </c>
      <c r="K5">
        <v>53900</v>
      </c>
      <c r="L5" t="s">
        <v>4796</v>
      </c>
      <c r="M5" t="s">
        <v>4797</v>
      </c>
    </row>
    <row r="6" spans="1:22" x14ac:dyDescent="0.3">
      <c r="A6" t="s">
        <v>4798</v>
      </c>
      <c r="B6" t="s">
        <v>23</v>
      </c>
      <c r="C6" t="s">
        <v>859</v>
      </c>
      <c r="D6" s="1">
        <v>46039</v>
      </c>
      <c r="E6" t="s">
        <v>38</v>
      </c>
      <c r="F6" t="s">
        <v>6180</v>
      </c>
      <c r="G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27000</v>
      </c>
      <c r="H6">
        <f>Payment_Dataset[[#This Row],[Total Amount]]-Payment_Dataset[[#This Row],[Amount_Paid]]</f>
        <v>0</v>
      </c>
      <c r="I6">
        <v>27000</v>
      </c>
      <c r="J6">
        <v>0</v>
      </c>
      <c r="K6">
        <v>27000</v>
      </c>
      <c r="L6" t="s">
        <v>4799</v>
      </c>
      <c r="M6" t="s">
        <v>4800</v>
      </c>
      <c r="N6" t="s">
        <v>12</v>
      </c>
      <c r="O6" t="s">
        <v>6181</v>
      </c>
      <c r="P6" s="2">
        <v>0.25</v>
      </c>
      <c r="Q6" s="2" t="s">
        <v>6187</v>
      </c>
    </row>
    <row r="7" spans="1:22" x14ac:dyDescent="0.3">
      <c r="A7" t="s">
        <v>4801</v>
      </c>
      <c r="B7" t="s">
        <v>27</v>
      </c>
      <c r="C7" t="s">
        <v>4331</v>
      </c>
      <c r="D7" s="1">
        <v>46126</v>
      </c>
      <c r="E7" t="s">
        <v>12</v>
      </c>
      <c r="F7" t="s">
        <v>6181</v>
      </c>
      <c r="G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7">
        <f>Payment_Dataset[[#This Row],[Total Amount]]-Payment_Dataset[[#This Row],[Amount_Paid]]</f>
        <v>4700</v>
      </c>
      <c r="I7">
        <v>0</v>
      </c>
      <c r="J7">
        <v>4700</v>
      </c>
      <c r="K7">
        <v>4700</v>
      </c>
      <c r="L7" t="s">
        <v>4787</v>
      </c>
      <c r="M7" t="s">
        <v>4802</v>
      </c>
      <c r="N7" t="s">
        <v>38</v>
      </c>
      <c r="O7" t="s">
        <v>6180</v>
      </c>
      <c r="P7" s="2">
        <v>1</v>
      </c>
      <c r="V7" t="s">
        <v>4796</v>
      </c>
    </row>
    <row r="8" spans="1:22" x14ac:dyDescent="0.3">
      <c r="A8" t="s">
        <v>4803</v>
      </c>
      <c r="B8" t="s">
        <v>30</v>
      </c>
      <c r="C8" t="s">
        <v>2279</v>
      </c>
      <c r="D8" s="1">
        <v>46167</v>
      </c>
      <c r="E8" t="s">
        <v>12</v>
      </c>
      <c r="F8" t="s">
        <v>6181</v>
      </c>
      <c r="G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8">
        <f>Payment_Dataset[[#This Row],[Total Amount]]-Payment_Dataset[[#This Row],[Amount_Paid]]</f>
        <v>31000</v>
      </c>
      <c r="I8">
        <v>0</v>
      </c>
      <c r="J8">
        <v>31000</v>
      </c>
      <c r="K8">
        <v>31000</v>
      </c>
      <c r="L8" t="s">
        <v>4796</v>
      </c>
      <c r="M8" t="s">
        <v>4804</v>
      </c>
      <c r="N8" t="s">
        <v>49</v>
      </c>
      <c r="O8" t="s">
        <v>6186</v>
      </c>
      <c r="P8" s="2">
        <v>0.35</v>
      </c>
      <c r="V8" t="s">
        <v>4793</v>
      </c>
    </row>
    <row r="9" spans="1:22" x14ac:dyDescent="0.3">
      <c r="A9" t="s">
        <v>4805</v>
      </c>
      <c r="B9" t="s">
        <v>34</v>
      </c>
      <c r="C9" t="s">
        <v>4235</v>
      </c>
      <c r="D9" s="1">
        <v>46198</v>
      </c>
      <c r="E9" t="s">
        <v>12</v>
      </c>
      <c r="F9" t="s">
        <v>6181</v>
      </c>
      <c r="G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9">
        <f>Payment_Dataset[[#This Row],[Total Amount]]-Payment_Dataset[[#This Row],[Amount_Paid]]</f>
        <v>14100</v>
      </c>
      <c r="I9">
        <v>0</v>
      </c>
      <c r="J9">
        <v>14100</v>
      </c>
      <c r="K9">
        <v>14100</v>
      </c>
      <c r="L9" t="s">
        <v>4790</v>
      </c>
      <c r="M9" t="s">
        <v>4806</v>
      </c>
      <c r="N9" t="s">
        <v>76</v>
      </c>
      <c r="O9" t="s">
        <v>6183</v>
      </c>
      <c r="P9">
        <v>0</v>
      </c>
      <c r="V9" t="s">
        <v>4790</v>
      </c>
    </row>
    <row r="10" spans="1:22" x14ac:dyDescent="0.3">
      <c r="A10" t="s">
        <v>4807</v>
      </c>
      <c r="B10" t="s">
        <v>39</v>
      </c>
      <c r="C10" t="s">
        <v>260</v>
      </c>
      <c r="D10" s="1">
        <v>46098</v>
      </c>
      <c r="E10" t="s">
        <v>12</v>
      </c>
      <c r="F10" t="s">
        <v>6181</v>
      </c>
      <c r="G1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0">
        <f>Payment_Dataset[[#This Row],[Total Amount]]-Payment_Dataset[[#This Row],[Amount_Paid]]</f>
        <v>28000</v>
      </c>
      <c r="I10">
        <v>0</v>
      </c>
      <c r="J10">
        <v>28000</v>
      </c>
      <c r="K10">
        <v>28000</v>
      </c>
      <c r="L10" t="s">
        <v>4793</v>
      </c>
      <c r="M10" t="s">
        <v>4808</v>
      </c>
      <c r="V10" t="s">
        <v>4787</v>
      </c>
    </row>
    <row r="11" spans="1:22" x14ac:dyDescent="0.3">
      <c r="A11" t="s">
        <v>4809</v>
      </c>
      <c r="B11" t="s">
        <v>43</v>
      </c>
      <c r="C11" t="s">
        <v>2786</v>
      </c>
      <c r="D11" s="1">
        <v>46185</v>
      </c>
      <c r="E11" t="s">
        <v>12</v>
      </c>
      <c r="F11" t="s">
        <v>6181</v>
      </c>
      <c r="G1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1">
        <f>Payment_Dataset[[#This Row],[Total Amount]]-Payment_Dataset[[#This Row],[Amount_Paid]]</f>
        <v>21000</v>
      </c>
      <c r="I11">
        <v>0</v>
      </c>
      <c r="J11">
        <v>21000</v>
      </c>
      <c r="K11">
        <v>21000</v>
      </c>
      <c r="L11" t="s">
        <v>4796</v>
      </c>
      <c r="M11" t="s">
        <v>4810</v>
      </c>
      <c r="V11" t="s">
        <v>4799</v>
      </c>
    </row>
    <row r="12" spans="1:22" x14ac:dyDescent="0.3">
      <c r="A12" t="s">
        <v>4811</v>
      </c>
      <c r="B12" t="s">
        <v>46</v>
      </c>
      <c r="C12" t="s">
        <v>3437</v>
      </c>
      <c r="D12" s="1">
        <v>46063</v>
      </c>
      <c r="E12" t="s">
        <v>12</v>
      </c>
      <c r="F12" t="s">
        <v>6181</v>
      </c>
      <c r="G1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2">
        <f>Payment_Dataset[[#This Row],[Total Amount]]-Payment_Dataset[[#This Row],[Amount_Paid]]</f>
        <v>27000</v>
      </c>
      <c r="I12">
        <v>0</v>
      </c>
      <c r="J12">
        <v>27000</v>
      </c>
      <c r="K12">
        <v>27000</v>
      </c>
      <c r="L12" t="s">
        <v>4796</v>
      </c>
      <c r="M12" t="s">
        <v>4812</v>
      </c>
    </row>
    <row r="13" spans="1:22" x14ac:dyDescent="0.3">
      <c r="A13" t="s">
        <v>4813</v>
      </c>
      <c r="B13" t="s">
        <v>50</v>
      </c>
      <c r="C13" t="s">
        <v>4089</v>
      </c>
      <c r="D13" s="1">
        <v>46114</v>
      </c>
      <c r="E13" t="s">
        <v>38</v>
      </c>
      <c r="F13" t="s">
        <v>6180</v>
      </c>
      <c r="G1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32900</v>
      </c>
      <c r="H13">
        <f>Payment_Dataset[[#This Row],[Total Amount]]-Payment_Dataset[[#This Row],[Amount_Paid]]</f>
        <v>0</v>
      </c>
      <c r="I13">
        <v>32900</v>
      </c>
      <c r="J13">
        <v>0</v>
      </c>
      <c r="K13">
        <v>32900</v>
      </c>
      <c r="L13" t="s">
        <v>4793</v>
      </c>
      <c r="M13" t="s">
        <v>4814</v>
      </c>
      <c r="P13">
        <f>35000*35%</f>
        <v>12250</v>
      </c>
    </row>
    <row r="14" spans="1:22" x14ac:dyDescent="0.3">
      <c r="A14" t="s">
        <v>4815</v>
      </c>
      <c r="B14" t="s">
        <v>52</v>
      </c>
      <c r="C14" t="s">
        <v>2672</v>
      </c>
      <c r="D14" s="1">
        <v>46045</v>
      </c>
      <c r="E14" t="s">
        <v>12</v>
      </c>
      <c r="F14" t="s">
        <v>6181</v>
      </c>
      <c r="G1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4">
        <f>Payment_Dataset[[#This Row],[Total Amount]]-Payment_Dataset[[#This Row],[Amount_Paid]]</f>
        <v>28000</v>
      </c>
      <c r="I14">
        <v>0</v>
      </c>
      <c r="J14">
        <v>28000</v>
      </c>
      <c r="K14">
        <v>28000</v>
      </c>
      <c r="L14" t="s">
        <v>4793</v>
      </c>
      <c r="M14" t="s">
        <v>4816</v>
      </c>
    </row>
    <row r="15" spans="1:22" x14ac:dyDescent="0.3">
      <c r="A15" t="s">
        <v>4817</v>
      </c>
      <c r="B15" t="s">
        <v>55</v>
      </c>
      <c r="C15" t="s">
        <v>2719</v>
      </c>
      <c r="D15" s="1">
        <v>46037</v>
      </c>
      <c r="E15" t="s">
        <v>38</v>
      </c>
      <c r="F15" t="s">
        <v>6180</v>
      </c>
      <c r="G1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15400</v>
      </c>
      <c r="H15">
        <f>Payment_Dataset[[#This Row],[Total Amount]]-Payment_Dataset[[#This Row],[Amount_Paid]]</f>
        <v>0</v>
      </c>
      <c r="I15">
        <v>15400</v>
      </c>
      <c r="J15">
        <v>0</v>
      </c>
      <c r="K15">
        <v>15400</v>
      </c>
      <c r="L15" t="s">
        <v>4796</v>
      </c>
      <c r="M15" t="s">
        <v>4818</v>
      </c>
    </row>
    <row r="16" spans="1:22" x14ac:dyDescent="0.3">
      <c r="A16" t="s">
        <v>4819</v>
      </c>
      <c r="B16" t="s">
        <v>59</v>
      </c>
      <c r="C16" t="s">
        <v>3474</v>
      </c>
      <c r="D16" s="1">
        <v>46165</v>
      </c>
      <c r="E16" t="s">
        <v>12</v>
      </c>
      <c r="F16" t="s">
        <v>6181</v>
      </c>
      <c r="G1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6">
        <f>Payment_Dataset[[#This Row],[Total Amount]]-Payment_Dataset[[#This Row],[Amount_Paid]]</f>
        <v>19200</v>
      </c>
      <c r="I16">
        <v>0</v>
      </c>
      <c r="J16">
        <v>19200</v>
      </c>
      <c r="K16">
        <v>19200</v>
      </c>
      <c r="L16" t="s">
        <v>4787</v>
      </c>
      <c r="M16" t="s">
        <v>4820</v>
      </c>
      <c r="Q16" t="str">
        <f ca="1">IF(F20="Pending",CHOOSE(RANDBETWEEN(1,4),"UPI","Cash","Card","Net Banking"),0)</f>
        <v>Cash</v>
      </c>
    </row>
    <row r="17" spans="1:17" x14ac:dyDescent="0.3">
      <c r="A17" t="s">
        <v>4821</v>
      </c>
      <c r="B17" t="s">
        <v>62</v>
      </c>
      <c r="C17" t="s">
        <v>2916</v>
      </c>
      <c r="D17" s="1">
        <v>46156</v>
      </c>
      <c r="E17" t="s">
        <v>12</v>
      </c>
      <c r="F17" t="s">
        <v>6181</v>
      </c>
      <c r="G1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7">
        <f>Payment_Dataset[[#This Row],[Total Amount]]-Payment_Dataset[[#This Row],[Amount_Paid]]</f>
        <v>32000</v>
      </c>
      <c r="I17">
        <v>0</v>
      </c>
      <c r="J17">
        <v>32000</v>
      </c>
      <c r="K17">
        <v>32000</v>
      </c>
      <c r="L17" t="s">
        <v>4796</v>
      </c>
      <c r="M17" t="s">
        <v>4822</v>
      </c>
      <c r="Q17">
        <f t="shared" ref="Q17:Q28" ca="1" si="0">IF(F21="Pending",CHOOSE(RANDBETWEEN(1,4),"UPI","Cash","Card","Net Banking"),0)</f>
        <v>0</v>
      </c>
    </row>
    <row r="18" spans="1:17" x14ac:dyDescent="0.3">
      <c r="A18" t="s">
        <v>4823</v>
      </c>
      <c r="B18" t="s">
        <v>65</v>
      </c>
      <c r="C18" t="s">
        <v>3142</v>
      </c>
      <c r="D18" s="1">
        <v>46098</v>
      </c>
      <c r="E18" t="s">
        <v>38</v>
      </c>
      <c r="F18" t="s">
        <v>6180</v>
      </c>
      <c r="G1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27500</v>
      </c>
      <c r="H18">
        <f>Payment_Dataset[[#This Row],[Total Amount]]-Payment_Dataset[[#This Row],[Amount_Paid]]</f>
        <v>0</v>
      </c>
      <c r="I18">
        <v>27500</v>
      </c>
      <c r="J18">
        <v>0</v>
      </c>
      <c r="K18">
        <v>27500</v>
      </c>
      <c r="L18" t="s">
        <v>4790</v>
      </c>
      <c r="M18" t="s">
        <v>4824</v>
      </c>
      <c r="Q18">
        <f t="shared" ca="1" si="0"/>
        <v>0</v>
      </c>
    </row>
    <row r="19" spans="1:17" x14ac:dyDescent="0.3">
      <c r="A19" t="s">
        <v>4825</v>
      </c>
      <c r="B19" t="s">
        <v>68</v>
      </c>
      <c r="C19" t="s">
        <v>411</v>
      </c>
      <c r="D19" s="1">
        <v>46133</v>
      </c>
      <c r="E19" t="s">
        <v>12</v>
      </c>
      <c r="F19" t="s">
        <v>6181</v>
      </c>
      <c r="G1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9">
        <f>Payment_Dataset[[#This Row],[Total Amount]]-Payment_Dataset[[#This Row],[Amount_Paid]]</f>
        <v>4000</v>
      </c>
      <c r="I19">
        <v>0</v>
      </c>
      <c r="J19">
        <v>4000</v>
      </c>
      <c r="K19">
        <v>4000</v>
      </c>
      <c r="L19" t="s">
        <v>4790</v>
      </c>
      <c r="M19" t="s">
        <v>4826</v>
      </c>
      <c r="Q19" t="str">
        <f t="shared" ca="1" si="0"/>
        <v>Net Banking</v>
      </c>
    </row>
    <row r="20" spans="1:17" x14ac:dyDescent="0.3">
      <c r="A20" t="s">
        <v>4827</v>
      </c>
      <c r="B20" t="s">
        <v>71</v>
      </c>
      <c r="C20" t="s">
        <v>454</v>
      </c>
      <c r="D20" s="1">
        <v>46146</v>
      </c>
      <c r="E20" t="s">
        <v>12</v>
      </c>
      <c r="F20" t="s">
        <v>6181</v>
      </c>
      <c r="G2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0">
        <f>Payment_Dataset[[#This Row],[Total Amount]]-Payment_Dataset[[#This Row],[Amount_Paid]]</f>
        <v>27000</v>
      </c>
      <c r="I20">
        <v>0</v>
      </c>
      <c r="J20">
        <v>27000</v>
      </c>
      <c r="K20">
        <v>27000</v>
      </c>
      <c r="L20" t="s">
        <v>4790</v>
      </c>
      <c r="M20" t="s">
        <v>4828</v>
      </c>
      <c r="Q20" t="str">
        <f t="shared" ca="1" si="0"/>
        <v>Cash</v>
      </c>
    </row>
    <row r="21" spans="1:17" x14ac:dyDescent="0.3">
      <c r="A21" t="s">
        <v>4829</v>
      </c>
      <c r="B21" t="s">
        <v>74</v>
      </c>
      <c r="C21" t="s">
        <v>3318</v>
      </c>
      <c r="D21" s="1">
        <v>46167</v>
      </c>
      <c r="E21" t="s">
        <v>38</v>
      </c>
      <c r="F21" t="s">
        <v>6180</v>
      </c>
      <c r="G2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11400</v>
      </c>
      <c r="H21">
        <f>Payment_Dataset[[#This Row],[Total Amount]]-Payment_Dataset[[#This Row],[Amount_Paid]]</f>
        <v>0</v>
      </c>
      <c r="I21">
        <v>11400</v>
      </c>
      <c r="J21">
        <v>0</v>
      </c>
      <c r="K21">
        <v>11400</v>
      </c>
      <c r="L21" t="s">
        <v>4793</v>
      </c>
      <c r="M21" t="s">
        <v>4830</v>
      </c>
      <c r="Q21">
        <f t="shared" ca="1" si="0"/>
        <v>0</v>
      </c>
    </row>
    <row r="22" spans="1:17" x14ac:dyDescent="0.3">
      <c r="A22" t="s">
        <v>4831</v>
      </c>
      <c r="B22" t="s">
        <v>77</v>
      </c>
      <c r="C22" t="s">
        <v>2674</v>
      </c>
      <c r="D22" s="1">
        <v>46111</v>
      </c>
      <c r="E22" t="s">
        <v>76</v>
      </c>
      <c r="F22" t="s">
        <v>6183</v>
      </c>
      <c r="G2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2">
        <f>Payment_Dataset[[#This Row],[Total Amount]]-Payment_Dataset[[#This Row],[Amount_Paid]]</f>
        <v>0</v>
      </c>
      <c r="I22">
        <v>0</v>
      </c>
      <c r="J22">
        <v>0</v>
      </c>
      <c r="K22">
        <v>0</v>
      </c>
      <c r="L22" t="s">
        <v>6178</v>
      </c>
      <c r="M22" t="s">
        <v>4832</v>
      </c>
      <c r="Q22">
        <f t="shared" ca="1" si="0"/>
        <v>0</v>
      </c>
    </row>
    <row r="23" spans="1:17" x14ac:dyDescent="0.3">
      <c r="A23" t="s">
        <v>4833</v>
      </c>
      <c r="B23" t="s">
        <v>79</v>
      </c>
      <c r="C23" t="s">
        <v>496</v>
      </c>
      <c r="D23" s="1">
        <v>46145</v>
      </c>
      <c r="E23" t="s">
        <v>12</v>
      </c>
      <c r="F23" t="s">
        <v>6181</v>
      </c>
      <c r="G2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3">
        <f>Payment_Dataset[[#This Row],[Total Amount]]-Payment_Dataset[[#This Row],[Amount_Paid]]</f>
        <v>19200</v>
      </c>
      <c r="I23">
        <v>0</v>
      </c>
      <c r="J23">
        <v>19200</v>
      </c>
      <c r="K23">
        <v>19200</v>
      </c>
      <c r="L23" t="s">
        <v>4796</v>
      </c>
      <c r="M23" t="s">
        <v>4834</v>
      </c>
      <c r="Q23">
        <f t="shared" ca="1" si="0"/>
        <v>0</v>
      </c>
    </row>
    <row r="24" spans="1:17" x14ac:dyDescent="0.3">
      <c r="A24" t="s">
        <v>4835</v>
      </c>
      <c r="B24" t="s">
        <v>82</v>
      </c>
      <c r="C24" t="s">
        <v>1060</v>
      </c>
      <c r="D24" s="1">
        <v>46090</v>
      </c>
      <c r="E24" t="s">
        <v>12</v>
      </c>
      <c r="F24" t="s">
        <v>6181</v>
      </c>
      <c r="G2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4">
        <f>Payment_Dataset[[#This Row],[Total Amount]]-Payment_Dataset[[#This Row],[Amount_Paid]]</f>
        <v>30800</v>
      </c>
      <c r="I24">
        <v>0</v>
      </c>
      <c r="J24">
        <v>30800</v>
      </c>
      <c r="K24">
        <v>30800</v>
      </c>
      <c r="L24" t="s">
        <v>4796</v>
      </c>
      <c r="M24" t="s">
        <v>4836</v>
      </c>
      <c r="Q24">
        <f t="shared" ca="1" si="0"/>
        <v>0</v>
      </c>
    </row>
    <row r="25" spans="1:17" x14ac:dyDescent="0.3">
      <c r="A25" t="s">
        <v>4837</v>
      </c>
      <c r="B25" t="s">
        <v>85</v>
      </c>
      <c r="C25" t="s">
        <v>1617</v>
      </c>
      <c r="D25" s="1">
        <v>46062</v>
      </c>
      <c r="E25" t="s">
        <v>38</v>
      </c>
      <c r="F25" t="s">
        <v>6180</v>
      </c>
      <c r="G2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31200</v>
      </c>
      <c r="H25">
        <f>Payment_Dataset[[#This Row],[Total Amount]]-Payment_Dataset[[#This Row],[Amount_Paid]]</f>
        <v>0</v>
      </c>
      <c r="I25">
        <v>31200</v>
      </c>
      <c r="J25">
        <v>0</v>
      </c>
      <c r="K25">
        <v>31200</v>
      </c>
      <c r="L25" t="s">
        <v>4790</v>
      </c>
      <c r="M25" t="s">
        <v>4838</v>
      </c>
      <c r="Q25" t="str">
        <f t="shared" ca="1" si="0"/>
        <v>Net Banking</v>
      </c>
    </row>
    <row r="26" spans="1:17" x14ac:dyDescent="0.3">
      <c r="A26" t="s">
        <v>4839</v>
      </c>
      <c r="B26" t="s">
        <v>88</v>
      </c>
      <c r="C26" t="s">
        <v>2616</v>
      </c>
      <c r="D26" s="1">
        <v>46101</v>
      </c>
      <c r="E26" t="s">
        <v>38</v>
      </c>
      <c r="F26" t="s">
        <v>6180</v>
      </c>
      <c r="G2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22800</v>
      </c>
      <c r="H26">
        <f>Payment_Dataset[[#This Row],[Total Amount]]-Payment_Dataset[[#This Row],[Amount_Paid]]</f>
        <v>0</v>
      </c>
      <c r="I26">
        <v>22800</v>
      </c>
      <c r="J26">
        <v>0</v>
      </c>
      <c r="K26">
        <v>22800</v>
      </c>
      <c r="L26" t="s">
        <v>4796</v>
      </c>
      <c r="M26" t="s">
        <v>4840</v>
      </c>
      <c r="Q26" t="str">
        <f t="shared" ca="1" si="0"/>
        <v>UPI</v>
      </c>
    </row>
    <row r="27" spans="1:17" x14ac:dyDescent="0.3">
      <c r="A27" t="s">
        <v>4841</v>
      </c>
      <c r="B27" t="s">
        <v>90</v>
      </c>
      <c r="C27" t="s">
        <v>1310</v>
      </c>
      <c r="D27" s="1">
        <v>46204</v>
      </c>
      <c r="E27" t="s">
        <v>49</v>
      </c>
      <c r="F27" t="s">
        <v>6182</v>
      </c>
      <c r="G2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1750</v>
      </c>
      <c r="H27">
        <f>Payment_Dataset[[#This Row],[Total Amount]]-Payment_Dataset[[#This Row],[Amount_Paid]]</f>
        <v>3250</v>
      </c>
      <c r="I27">
        <v>1750</v>
      </c>
      <c r="J27">
        <v>3250</v>
      </c>
      <c r="K27">
        <v>5000</v>
      </c>
      <c r="L27" t="s">
        <v>4799</v>
      </c>
      <c r="M27" t="s">
        <v>4842</v>
      </c>
      <c r="Q27">
        <f t="shared" ca="1" si="0"/>
        <v>0</v>
      </c>
    </row>
    <row r="28" spans="1:17" x14ac:dyDescent="0.3">
      <c r="A28" t="s">
        <v>4843</v>
      </c>
      <c r="B28" t="s">
        <v>93</v>
      </c>
      <c r="C28" t="s">
        <v>3911</v>
      </c>
      <c r="D28" s="1">
        <v>46096</v>
      </c>
      <c r="E28" t="s">
        <v>38</v>
      </c>
      <c r="F28" t="s">
        <v>6180</v>
      </c>
      <c r="G2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42000</v>
      </c>
      <c r="H28">
        <f>Payment_Dataset[[#This Row],[Total Amount]]-Payment_Dataset[[#This Row],[Amount_Paid]]</f>
        <v>0</v>
      </c>
      <c r="I28">
        <v>42000</v>
      </c>
      <c r="J28">
        <v>0</v>
      </c>
      <c r="K28">
        <v>42000</v>
      </c>
      <c r="L28" t="s">
        <v>4790</v>
      </c>
      <c r="M28" t="s">
        <v>4844</v>
      </c>
      <c r="Q28" t="str">
        <f t="shared" ca="1" si="0"/>
        <v>Card</v>
      </c>
    </row>
    <row r="29" spans="1:17" x14ac:dyDescent="0.3">
      <c r="A29" t="s">
        <v>4845</v>
      </c>
      <c r="B29" t="s">
        <v>96</v>
      </c>
      <c r="C29" t="s">
        <v>3534</v>
      </c>
      <c r="D29" s="1">
        <v>46176</v>
      </c>
      <c r="E29" t="s">
        <v>12</v>
      </c>
      <c r="F29" t="s">
        <v>6181</v>
      </c>
      <c r="G2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9">
        <f>Payment_Dataset[[#This Row],[Total Amount]]-Payment_Dataset[[#This Row],[Amount_Paid]]</f>
        <v>10000</v>
      </c>
      <c r="I29">
        <v>0</v>
      </c>
      <c r="J29">
        <v>10000</v>
      </c>
      <c r="K29">
        <v>10000</v>
      </c>
      <c r="L29" t="s">
        <v>4787</v>
      </c>
      <c r="M29" t="s">
        <v>4846</v>
      </c>
    </row>
    <row r="30" spans="1:17" x14ac:dyDescent="0.3">
      <c r="A30" t="s">
        <v>4847</v>
      </c>
      <c r="B30" t="s">
        <v>99</v>
      </c>
      <c r="C30" t="s">
        <v>4452</v>
      </c>
      <c r="D30" s="1">
        <v>46072</v>
      </c>
      <c r="E30" t="s">
        <v>12</v>
      </c>
      <c r="F30" t="s">
        <v>6181</v>
      </c>
      <c r="G3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0">
        <f>Payment_Dataset[[#This Row],[Total Amount]]-Payment_Dataset[[#This Row],[Amount_Paid]]</f>
        <v>27500</v>
      </c>
      <c r="I30">
        <v>0</v>
      </c>
      <c r="J30">
        <v>27500</v>
      </c>
      <c r="K30">
        <v>27500</v>
      </c>
      <c r="L30" t="s">
        <v>4796</v>
      </c>
      <c r="M30" t="s">
        <v>4848</v>
      </c>
    </row>
    <row r="31" spans="1:17" x14ac:dyDescent="0.3">
      <c r="A31" t="s">
        <v>4849</v>
      </c>
      <c r="B31" t="s">
        <v>101</v>
      </c>
      <c r="C31" t="s">
        <v>857</v>
      </c>
      <c r="D31" s="1">
        <v>46204</v>
      </c>
      <c r="E31" t="s">
        <v>38</v>
      </c>
      <c r="F31" t="s">
        <v>6180</v>
      </c>
      <c r="G3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16500</v>
      </c>
      <c r="H31">
        <f>Payment_Dataset[[#This Row],[Total Amount]]-Payment_Dataset[[#This Row],[Amount_Paid]]</f>
        <v>0</v>
      </c>
      <c r="I31">
        <v>16500</v>
      </c>
      <c r="J31">
        <v>0</v>
      </c>
      <c r="K31">
        <v>16500</v>
      </c>
      <c r="L31" t="s">
        <v>4796</v>
      </c>
      <c r="M31" t="s">
        <v>4850</v>
      </c>
    </row>
    <row r="32" spans="1:17" x14ac:dyDescent="0.3">
      <c r="A32" t="s">
        <v>4851</v>
      </c>
      <c r="B32" t="s">
        <v>104</v>
      </c>
      <c r="C32" t="s">
        <v>713</v>
      </c>
      <c r="D32" s="1">
        <v>46161</v>
      </c>
      <c r="E32" t="s">
        <v>12</v>
      </c>
      <c r="F32" t="s">
        <v>6181</v>
      </c>
      <c r="G3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2">
        <f>Payment_Dataset[[#This Row],[Total Amount]]-Payment_Dataset[[#This Row],[Amount_Paid]]</f>
        <v>18800</v>
      </c>
      <c r="I32">
        <v>0</v>
      </c>
      <c r="J32">
        <v>18800</v>
      </c>
      <c r="K32">
        <v>18800</v>
      </c>
      <c r="L32" t="s">
        <v>4790</v>
      </c>
      <c r="M32" t="s">
        <v>4852</v>
      </c>
    </row>
    <row r="33" spans="1:13" x14ac:dyDescent="0.3">
      <c r="A33" t="s">
        <v>4853</v>
      </c>
      <c r="B33" t="s">
        <v>107</v>
      </c>
      <c r="C33" t="s">
        <v>855</v>
      </c>
      <c r="D33" s="1">
        <v>46117</v>
      </c>
      <c r="E33" t="s">
        <v>49</v>
      </c>
      <c r="F33" t="s">
        <v>6182</v>
      </c>
      <c r="G3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8225</v>
      </c>
      <c r="H33">
        <f>Payment_Dataset[[#This Row],[Total Amount]]-Payment_Dataset[[#This Row],[Amount_Paid]]</f>
        <v>15275</v>
      </c>
      <c r="I33">
        <v>8225</v>
      </c>
      <c r="J33">
        <v>15275</v>
      </c>
      <c r="K33">
        <v>23500</v>
      </c>
      <c r="L33" t="s">
        <v>4787</v>
      </c>
      <c r="M33" t="s">
        <v>4854</v>
      </c>
    </row>
    <row r="34" spans="1:13" x14ac:dyDescent="0.3">
      <c r="A34" t="s">
        <v>4855</v>
      </c>
      <c r="B34" t="s">
        <v>110</v>
      </c>
      <c r="C34" t="s">
        <v>4273</v>
      </c>
      <c r="D34" s="1">
        <v>46149</v>
      </c>
      <c r="E34" t="s">
        <v>49</v>
      </c>
      <c r="F34" t="s">
        <v>6182</v>
      </c>
      <c r="G3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2520</v>
      </c>
      <c r="H34">
        <f>Payment_Dataset[[#This Row],[Total Amount]]-Payment_Dataset[[#This Row],[Amount_Paid]]</f>
        <v>4680</v>
      </c>
      <c r="I34">
        <v>2520</v>
      </c>
      <c r="J34">
        <v>4680</v>
      </c>
      <c r="K34">
        <v>7200</v>
      </c>
      <c r="L34" t="s">
        <v>4793</v>
      </c>
      <c r="M34" t="s">
        <v>4856</v>
      </c>
    </row>
    <row r="35" spans="1:13" x14ac:dyDescent="0.3">
      <c r="A35" t="s">
        <v>4857</v>
      </c>
      <c r="B35" t="s">
        <v>113</v>
      </c>
      <c r="C35" t="s">
        <v>1939</v>
      </c>
      <c r="D35" s="1">
        <v>46025</v>
      </c>
      <c r="E35" t="s">
        <v>49</v>
      </c>
      <c r="F35" t="s">
        <v>6182</v>
      </c>
      <c r="G3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13650</v>
      </c>
      <c r="H35">
        <f>Payment_Dataset[[#This Row],[Total Amount]]-Payment_Dataset[[#This Row],[Amount_Paid]]</f>
        <v>25350</v>
      </c>
      <c r="I35">
        <v>13650</v>
      </c>
      <c r="J35">
        <v>25350</v>
      </c>
      <c r="K35">
        <v>39000</v>
      </c>
      <c r="L35" t="s">
        <v>4793</v>
      </c>
      <c r="M35" t="s">
        <v>4858</v>
      </c>
    </row>
    <row r="36" spans="1:13" x14ac:dyDescent="0.3">
      <c r="A36" t="s">
        <v>4859</v>
      </c>
      <c r="B36" t="s">
        <v>115</v>
      </c>
      <c r="C36" t="s">
        <v>4214</v>
      </c>
      <c r="D36" s="1">
        <v>46164</v>
      </c>
      <c r="E36" t="s">
        <v>38</v>
      </c>
      <c r="F36" t="s">
        <v>6180</v>
      </c>
      <c r="G3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28800</v>
      </c>
      <c r="H36">
        <f>Payment_Dataset[[#This Row],[Total Amount]]-Payment_Dataset[[#This Row],[Amount_Paid]]</f>
        <v>0</v>
      </c>
      <c r="I36">
        <v>28800</v>
      </c>
      <c r="J36">
        <v>0</v>
      </c>
      <c r="K36">
        <v>28800</v>
      </c>
      <c r="L36" t="s">
        <v>4799</v>
      </c>
      <c r="M36" t="s">
        <v>4860</v>
      </c>
    </row>
    <row r="37" spans="1:13" x14ac:dyDescent="0.3">
      <c r="A37" t="s">
        <v>4861</v>
      </c>
      <c r="B37" t="s">
        <v>117</v>
      </c>
      <c r="C37" t="s">
        <v>1284</v>
      </c>
      <c r="D37" s="1">
        <v>46124</v>
      </c>
      <c r="E37" t="s">
        <v>12</v>
      </c>
      <c r="F37" t="s">
        <v>6181</v>
      </c>
      <c r="G3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7">
        <f>Payment_Dataset[[#This Row],[Total Amount]]-Payment_Dataset[[#This Row],[Amount_Paid]]</f>
        <v>21000</v>
      </c>
      <c r="I37">
        <v>0</v>
      </c>
      <c r="J37">
        <v>21000</v>
      </c>
      <c r="K37">
        <v>21000</v>
      </c>
      <c r="L37" t="s">
        <v>4796</v>
      </c>
      <c r="M37" t="s">
        <v>4862</v>
      </c>
    </row>
    <row r="38" spans="1:13" x14ac:dyDescent="0.3">
      <c r="A38" t="s">
        <v>4863</v>
      </c>
      <c r="B38" t="s">
        <v>120</v>
      </c>
      <c r="C38" t="s">
        <v>3350</v>
      </c>
      <c r="D38" s="1">
        <v>46165</v>
      </c>
      <c r="E38" t="s">
        <v>38</v>
      </c>
      <c r="F38" t="s">
        <v>6180</v>
      </c>
      <c r="G3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28000</v>
      </c>
      <c r="H38">
        <f>Payment_Dataset[[#This Row],[Total Amount]]-Payment_Dataset[[#This Row],[Amount_Paid]]</f>
        <v>0</v>
      </c>
      <c r="I38">
        <v>28000</v>
      </c>
      <c r="J38">
        <v>0</v>
      </c>
      <c r="K38">
        <v>28000</v>
      </c>
      <c r="L38" t="s">
        <v>4796</v>
      </c>
      <c r="M38" t="s">
        <v>4864</v>
      </c>
    </row>
    <row r="39" spans="1:13" x14ac:dyDescent="0.3">
      <c r="A39" t="s">
        <v>4865</v>
      </c>
      <c r="B39" t="s">
        <v>123</v>
      </c>
      <c r="C39" t="s">
        <v>2410</v>
      </c>
      <c r="D39" s="1">
        <v>46139</v>
      </c>
      <c r="E39" t="s">
        <v>12</v>
      </c>
      <c r="F39" t="s">
        <v>6181</v>
      </c>
      <c r="G3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9">
        <f>Payment_Dataset[[#This Row],[Total Amount]]-Payment_Dataset[[#This Row],[Amount_Paid]]</f>
        <v>26800</v>
      </c>
      <c r="I39">
        <v>0</v>
      </c>
      <c r="J39">
        <v>26800</v>
      </c>
      <c r="K39">
        <v>26800</v>
      </c>
      <c r="L39" t="s">
        <v>4790</v>
      </c>
      <c r="M39" t="s">
        <v>4866</v>
      </c>
    </row>
    <row r="40" spans="1:13" x14ac:dyDescent="0.3">
      <c r="A40" t="s">
        <v>4867</v>
      </c>
      <c r="B40" t="s">
        <v>126</v>
      </c>
      <c r="C40" t="s">
        <v>349</v>
      </c>
      <c r="D40" s="1">
        <v>46065</v>
      </c>
      <c r="E40" t="s">
        <v>38</v>
      </c>
      <c r="F40" t="s">
        <v>6180</v>
      </c>
      <c r="G4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6000</v>
      </c>
      <c r="H40">
        <f>Payment_Dataset[[#This Row],[Total Amount]]-Payment_Dataset[[#This Row],[Amount_Paid]]</f>
        <v>0</v>
      </c>
      <c r="I40">
        <v>6000</v>
      </c>
      <c r="J40">
        <v>0</v>
      </c>
      <c r="K40">
        <v>6000</v>
      </c>
      <c r="L40" t="s">
        <v>4796</v>
      </c>
      <c r="M40" t="s">
        <v>4868</v>
      </c>
    </row>
    <row r="41" spans="1:13" x14ac:dyDescent="0.3">
      <c r="A41" t="s">
        <v>4869</v>
      </c>
      <c r="B41" t="s">
        <v>128</v>
      </c>
      <c r="C41" t="s">
        <v>2329</v>
      </c>
      <c r="D41" s="1">
        <v>46176</v>
      </c>
      <c r="E41" t="s">
        <v>38</v>
      </c>
      <c r="F41" t="s">
        <v>6180</v>
      </c>
      <c r="G4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28200</v>
      </c>
      <c r="H41">
        <f>Payment_Dataset[[#This Row],[Total Amount]]-Payment_Dataset[[#This Row],[Amount_Paid]]</f>
        <v>0</v>
      </c>
      <c r="I41">
        <v>28200</v>
      </c>
      <c r="J41">
        <v>0</v>
      </c>
      <c r="K41">
        <v>28200</v>
      </c>
      <c r="L41" t="s">
        <v>4787</v>
      </c>
      <c r="M41" t="s">
        <v>4870</v>
      </c>
    </row>
    <row r="42" spans="1:13" x14ac:dyDescent="0.3">
      <c r="A42" t="s">
        <v>4871</v>
      </c>
      <c r="B42" t="s">
        <v>131</v>
      </c>
      <c r="C42" t="s">
        <v>1349</v>
      </c>
      <c r="D42" s="1">
        <v>46203</v>
      </c>
      <c r="E42" t="s">
        <v>38</v>
      </c>
      <c r="F42" t="s">
        <v>6180</v>
      </c>
      <c r="G4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12600</v>
      </c>
      <c r="H42">
        <f>Payment_Dataset[[#This Row],[Total Amount]]-Payment_Dataset[[#This Row],[Amount_Paid]]</f>
        <v>0</v>
      </c>
      <c r="I42">
        <v>12600</v>
      </c>
      <c r="J42">
        <v>0</v>
      </c>
      <c r="K42">
        <v>12600</v>
      </c>
      <c r="L42" t="s">
        <v>4793</v>
      </c>
      <c r="M42" t="s">
        <v>4872</v>
      </c>
    </row>
    <row r="43" spans="1:13" x14ac:dyDescent="0.3">
      <c r="A43" t="s">
        <v>4873</v>
      </c>
      <c r="B43" t="s">
        <v>134</v>
      </c>
      <c r="C43" t="s">
        <v>910</v>
      </c>
      <c r="D43" s="1">
        <v>46050</v>
      </c>
      <c r="E43" t="s">
        <v>38</v>
      </c>
      <c r="F43" t="s">
        <v>6180</v>
      </c>
      <c r="G4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16500</v>
      </c>
      <c r="H43">
        <f>Payment_Dataset[[#This Row],[Total Amount]]-Payment_Dataset[[#This Row],[Amount_Paid]]</f>
        <v>0</v>
      </c>
      <c r="I43">
        <v>16500</v>
      </c>
      <c r="J43">
        <v>0</v>
      </c>
      <c r="K43">
        <v>16500</v>
      </c>
      <c r="L43" t="s">
        <v>4787</v>
      </c>
      <c r="M43" t="s">
        <v>4874</v>
      </c>
    </row>
    <row r="44" spans="1:13" x14ac:dyDescent="0.3">
      <c r="A44" t="s">
        <v>4875</v>
      </c>
      <c r="B44" t="s">
        <v>136</v>
      </c>
      <c r="C44" t="s">
        <v>1613</v>
      </c>
      <c r="D44" s="1">
        <v>46084</v>
      </c>
      <c r="E44" t="s">
        <v>12</v>
      </c>
      <c r="F44" t="s">
        <v>6181</v>
      </c>
      <c r="G4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4">
        <f>Payment_Dataset[[#This Row],[Total Amount]]-Payment_Dataset[[#This Row],[Amount_Paid]]</f>
        <v>39000</v>
      </c>
      <c r="I44">
        <v>0</v>
      </c>
      <c r="J44">
        <v>39000</v>
      </c>
      <c r="K44">
        <v>39000</v>
      </c>
      <c r="L44" t="s">
        <v>4787</v>
      </c>
      <c r="M44" t="s">
        <v>4876</v>
      </c>
    </row>
    <row r="45" spans="1:13" x14ac:dyDescent="0.3">
      <c r="A45" t="s">
        <v>4877</v>
      </c>
      <c r="B45" t="s">
        <v>139</v>
      </c>
      <c r="C45" t="s">
        <v>1689</v>
      </c>
      <c r="D45" s="1">
        <v>46179</v>
      </c>
      <c r="E45" t="s">
        <v>49</v>
      </c>
      <c r="F45" t="s">
        <v>6182</v>
      </c>
      <c r="G4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13965</v>
      </c>
      <c r="H45">
        <f>Payment_Dataset[[#This Row],[Total Amount]]-Payment_Dataset[[#This Row],[Amount_Paid]]</f>
        <v>25935</v>
      </c>
      <c r="I45">
        <v>13965</v>
      </c>
      <c r="J45">
        <v>25935</v>
      </c>
      <c r="K45">
        <v>39900</v>
      </c>
      <c r="L45" t="s">
        <v>4796</v>
      </c>
      <c r="M45" t="s">
        <v>4878</v>
      </c>
    </row>
    <row r="46" spans="1:13" x14ac:dyDescent="0.3">
      <c r="A46" t="s">
        <v>4879</v>
      </c>
      <c r="B46" t="s">
        <v>141</v>
      </c>
      <c r="C46" t="s">
        <v>2058</v>
      </c>
      <c r="D46" s="1">
        <v>46165</v>
      </c>
      <c r="E46" t="s">
        <v>76</v>
      </c>
      <c r="F46" t="s">
        <v>6183</v>
      </c>
      <c r="G4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6">
        <f>Payment_Dataset[[#This Row],[Total Amount]]-Payment_Dataset[[#This Row],[Amount_Paid]]</f>
        <v>0</v>
      </c>
      <c r="I46">
        <v>0</v>
      </c>
      <c r="J46">
        <v>0</v>
      </c>
      <c r="K46">
        <v>0</v>
      </c>
      <c r="L46" t="s">
        <v>6178</v>
      </c>
      <c r="M46" t="s">
        <v>4880</v>
      </c>
    </row>
    <row r="47" spans="1:13" x14ac:dyDescent="0.3">
      <c r="A47" t="s">
        <v>4881</v>
      </c>
      <c r="B47" t="s">
        <v>144</v>
      </c>
      <c r="C47" t="s">
        <v>2500</v>
      </c>
      <c r="D47" s="1">
        <v>46147</v>
      </c>
      <c r="E47" t="s">
        <v>12</v>
      </c>
      <c r="F47" t="s">
        <v>6181</v>
      </c>
      <c r="G4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7">
        <f>Payment_Dataset[[#This Row],[Total Amount]]-Payment_Dataset[[#This Row],[Amount_Paid]]</f>
        <v>52500</v>
      </c>
      <c r="I47">
        <v>0</v>
      </c>
      <c r="J47">
        <v>52500</v>
      </c>
      <c r="K47">
        <v>52500</v>
      </c>
      <c r="L47" t="s">
        <v>4790</v>
      </c>
      <c r="M47" t="s">
        <v>4882</v>
      </c>
    </row>
    <row r="48" spans="1:13" x14ac:dyDescent="0.3">
      <c r="A48" t="s">
        <v>4883</v>
      </c>
      <c r="B48" t="s">
        <v>147</v>
      </c>
      <c r="C48" t="s">
        <v>2427</v>
      </c>
      <c r="D48" s="1">
        <v>46027</v>
      </c>
      <c r="E48" t="s">
        <v>12</v>
      </c>
      <c r="F48" t="s">
        <v>6181</v>
      </c>
      <c r="G4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8">
        <f>Payment_Dataset[[#This Row],[Total Amount]]-Payment_Dataset[[#This Row],[Amount_Paid]]</f>
        <v>21000</v>
      </c>
      <c r="I48">
        <v>0</v>
      </c>
      <c r="J48">
        <v>21000</v>
      </c>
      <c r="K48">
        <v>21000</v>
      </c>
      <c r="L48" t="s">
        <v>4790</v>
      </c>
      <c r="M48" t="s">
        <v>4884</v>
      </c>
    </row>
    <row r="49" spans="1:13" x14ac:dyDescent="0.3">
      <c r="A49" t="s">
        <v>4885</v>
      </c>
      <c r="B49" t="s">
        <v>150</v>
      </c>
      <c r="C49" t="s">
        <v>591</v>
      </c>
      <c r="D49" s="1">
        <v>46162</v>
      </c>
      <c r="E49" t="s">
        <v>12</v>
      </c>
      <c r="F49" t="s">
        <v>6181</v>
      </c>
      <c r="G4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9">
        <f>Payment_Dataset[[#This Row],[Total Amount]]-Payment_Dataset[[#This Row],[Amount_Paid]]</f>
        <v>30800</v>
      </c>
      <c r="I49">
        <v>0</v>
      </c>
      <c r="J49">
        <v>30800</v>
      </c>
      <c r="K49">
        <v>30800</v>
      </c>
      <c r="L49" t="s">
        <v>4790</v>
      </c>
      <c r="M49" t="s">
        <v>4886</v>
      </c>
    </row>
    <row r="50" spans="1:13" x14ac:dyDescent="0.3">
      <c r="A50" t="s">
        <v>4887</v>
      </c>
      <c r="B50" t="s">
        <v>153</v>
      </c>
      <c r="C50" t="s">
        <v>4237</v>
      </c>
      <c r="D50" s="1">
        <v>46097</v>
      </c>
      <c r="E50" t="s">
        <v>38</v>
      </c>
      <c r="F50" t="s">
        <v>6180</v>
      </c>
      <c r="G5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11400</v>
      </c>
      <c r="H50">
        <f>Payment_Dataset[[#This Row],[Total Amount]]-Payment_Dataset[[#This Row],[Amount_Paid]]</f>
        <v>0</v>
      </c>
      <c r="I50">
        <v>11400</v>
      </c>
      <c r="J50">
        <v>0</v>
      </c>
      <c r="K50">
        <v>11400</v>
      </c>
      <c r="L50" t="s">
        <v>4793</v>
      </c>
      <c r="M50" t="s">
        <v>4888</v>
      </c>
    </row>
    <row r="51" spans="1:13" x14ac:dyDescent="0.3">
      <c r="A51" t="s">
        <v>4889</v>
      </c>
      <c r="B51" t="s">
        <v>155</v>
      </c>
      <c r="C51" t="s">
        <v>1526</v>
      </c>
      <c r="D51" s="1">
        <v>46049</v>
      </c>
      <c r="E51" t="s">
        <v>76</v>
      </c>
      <c r="F51" t="s">
        <v>6183</v>
      </c>
      <c r="G5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1">
        <f>Payment_Dataset[[#This Row],[Total Amount]]-Payment_Dataset[[#This Row],[Amount_Paid]]</f>
        <v>0</v>
      </c>
      <c r="I51">
        <v>0</v>
      </c>
      <c r="J51">
        <v>0</v>
      </c>
      <c r="K51">
        <v>0</v>
      </c>
      <c r="L51" t="s">
        <v>6178</v>
      </c>
      <c r="M51" t="s">
        <v>4890</v>
      </c>
    </row>
    <row r="52" spans="1:13" x14ac:dyDescent="0.3">
      <c r="A52" t="s">
        <v>4891</v>
      </c>
      <c r="B52" t="s">
        <v>157</v>
      </c>
      <c r="C52" t="s">
        <v>1316</v>
      </c>
      <c r="D52" s="1">
        <v>46069</v>
      </c>
      <c r="E52" t="s">
        <v>12</v>
      </c>
      <c r="F52" t="s">
        <v>6181</v>
      </c>
      <c r="G5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2">
        <f>Payment_Dataset[[#This Row],[Total Amount]]-Payment_Dataset[[#This Row],[Amount_Paid]]</f>
        <v>46800</v>
      </c>
      <c r="I52">
        <v>0</v>
      </c>
      <c r="J52">
        <v>46800</v>
      </c>
      <c r="K52">
        <v>46800</v>
      </c>
      <c r="L52" t="s">
        <v>4796</v>
      </c>
      <c r="M52" t="s">
        <v>4892</v>
      </c>
    </row>
    <row r="53" spans="1:13" x14ac:dyDescent="0.3">
      <c r="A53" t="s">
        <v>4893</v>
      </c>
      <c r="B53" t="s">
        <v>160</v>
      </c>
      <c r="C53" t="s">
        <v>3416</v>
      </c>
      <c r="D53" s="1">
        <v>46035</v>
      </c>
      <c r="E53" t="s">
        <v>12</v>
      </c>
      <c r="F53" t="s">
        <v>6181</v>
      </c>
      <c r="G5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3">
        <f>Payment_Dataset[[#This Row],[Total Amount]]-Payment_Dataset[[#This Row],[Amount_Paid]]</f>
        <v>25000</v>
      </c>
      <c r="I53">
        <v>0</v>
      </c>
      <c r="J53">
        <v>25000</v>
      </c>
      <c r="K53">
        <v>25000</v>
      </c>
      <c r="L53" t="s">
        <v>4793</v>
      </c>
      <c r="M53" t="s">
        <v>4894</v>
      </c>
    </row>
    <row r="54" spans="1:13" x14ac:dyDescent="0.3">
      <c r="A54" t="s">
        <v>4895</v>
      </c>
      <c r="B54" t="s">
        <v>163</v>
      </c>
      <c r="C54" t="s">
        <v>4149</v>
      </c>
      <c r="D54" s="1">
        <v>46124</v>
      </c>
      <c r="E54" t="s">
        <v>38</v>
      </c>
      <c r="F54" t="s">
        <v>6180</v>
      </c>
      <c r="G5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26000</v>
      </c>
      <c r="H54">
        <f>Payment_Dataset[[#This Row],[Total Amount]]-Payment_Dataset[[#This Row],[Amount_Paid]]</f>
        <v>0</v>
      </c>
      <c r="I54">
        <v>26000</v>
      </c>
      <c r="J54">
        <v>0</v>
      </c>
      <c r="K54">
        <v>26000</v>
      </c>
      <c r="L54" t="s">
        <v>4799</v>
      </c>
      <c r="M54" t="s">
        <v>4896</v>
      </c>
    </row>
    <row r="55" spans="1:13" x14ac:dyDescent="0.3">
      <c r="A55" t="s">
        <v>4897</v>
      </c>
      <c r="B55" t="s">
        <v>166</v>
      </c>
      <c r="C55" t="s">
        <v>1669</v>
      </c>
      <c r="D55" s="1">
        <v>46159</v>
      </c>
      <c r="E55" t="s">
        <v>12</v>
      </c>
      <c r="F55" t="s">
        <v>6181</v>
      </c>
      <c r="G5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5">
        <f>Payment_Dataset[[#This Row],[Total Amount]]-Payment_Dataset[[#This Row],[Amount_Paid]]</f>
        <v>15600</v>
      </c>
      <c r="I55">
        <v>0</v>
      </c>
      <c r="J55">
        <v>15600</v>
      </c>
      <c r="K55">
        <v>15600</v>
      </c>
      <c r="L55" t="s">
        <v>4787</v>
      </c>
      <c r="M55" t="s">
        <v>4898</v>
      </c>
    </row>
    <row r="56" spans="1:13" x14ac:dyDescent="0.3">
      <c r="A56" t="s">
        <v>4899</v>
      </c>
      <c r="B56" t="s">
        <v>169</v>
      </c>
      <c r="C56" t="s">
        <v>3399</v>
      </c>
      <c r="D56" s="1">
        <v>46140</v>
      </c>
      <c r="E56" t="s">
        <v>38</v>
      </c>
      <c r="F56" t="s">
        <v>6180</v>
      </c>
      <c r="G5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7700</v>
      </c>
      <c r="H56">
        <f>Payment_Dataset[[#This Row],[Total Amount]]-Payment_Dataset[[#This Row],[Amount_Paid]]</f>
        <v>0</v>
      </c>
      <c r="I56">
        <v>7700</v>
      </c>
      <c r="J56">
        <v>0</v>
      </c>
      <c r="K56">
        <v>7700</v>
      </c>
      <c r="L56" t="s">
        <v>4796</v>
      </c>
      <c r="M56" t="s">
        <v>4900</v>
      </c>
    </row>
    <row r="57" spans="1:13" x14ac:dyDescent="0.3">
      <c r="A57" t="s">
        <v>4901</v>
      </c>
      <c r="B57" t="s">
        <v>171</v>
      </c>
      <c r="C57" t="s">
        <v>1308</v>
      </c>
      <c r="D57" s="1">
        <v>46093</v>
      </c>
      <c r="E57" t="s">
        <v>38</v>
      </c>
      <c r="F57" t="s">
        <v>6180</v>
      </c>
      <c r="G5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28500</v>
      </c>
      <c r="H57">
        <f>Payment_Dataset[[#This Row],[Total Amount]]-Payment_Dataset[[#This Row],[Amount_Paid]]</f>
        <v>0</v>
      </c>
      <c r="I57">
        <v>28500</v>
      </c>
      <c r="J57">
        <v>0</v>
      </c>
      <c r="K57">
        <v>28500</v>
      </c>
      <c r="L57" t="s">
        <v>4796</v>
      </c>
      <c r="M57" t="s">
        <v>4902</v>
      </c>
    </row>
    <row r="58" spans="1:13" x14ac:dyDescent="0.3">
      <c r="A58" t="s">
        <v>4903</v>
      </c>
      <c r="B58" t="s">
        <v>173</v>
      </c>
      <c r="C58" t="s">
        <v>1807</v>
      </c>
      <c r="D58" s="1">
        <v>46193</v>
      </c>
      <c r="E58" t="s">
        <v>12</v>
      </c>
      <c r="F58" t="s">
        <v>6181</v>
      </c>
      <c r="G5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8">
        <f>Payment_Dataset[[#This Row],[Total Amount]]-Payment_Dataset[[#This Row],[Amount_Paid]]</f>
        <v>14000</v>
      </c>
      <c r="I58">
        <v>0</v>
      </c>
      <c r="J58">
        <v>14000</v>
      </c>
      <c r="K58">
        <v>14000</v>
      </c>
      <c r="L58" t="s">
        <v>4793</v>
      </c>
      <c r="M58" t="s">
        <v>4904</v>
      </c>
    </row>
    <row r="59" spans="1:13" x14ac:dyDescent="0.3">
      <c r="A59" t="s">
        <v>4905</v>
      </c>
      <c r="B59" t="s">
        <v>176</v>
      </c>
      <c r="C59" t="s">
        <v>1673</v>
      </c>
      <c r="D59" s="1">
        <v>46042</v>
      </c>
      <c r="E59" t="s">
        <v>12</v>
      </c>
      <c r="F59" t="s">
        <v>6181</v>
      </c>
      <c r="G5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9">
        <f>Payment_Dataset[[#This Row],[Total Amount]]-Payment_Dataset[[#This Row],[Amount_Paid]]</f>
        <v>35000</v>
      </c>
      <c r="I59">
        <v>0</v>
      </c>
      <c r="J59">
        <v>35000</v>
      </c>
      <c r="K59">
        <v>35000</v>
      </c>
      <c r="L59" t="s">
        <v>4790</v>
      </c>
      <c r="M59" t="s">
        <v>4906</v>
      </c>
    </row>
    <row r="60" spans="1:13" x14ac:dyDescent="0.3">
      <c r="A60" t="s">
        <v>4907</v>
      </c>
      <c r="B60" t="s">
        <v>178</v>
      </c>
      <c r="C60" t="s">
        <v>2747</v>
      </c>
      <c r="D60" s="1">
        <v>46139</v>
      </c>
      <c r="E60" t="s">
        <v>38</v>
      </c>
      <c r="F60" t="s">
        <v>6180</v>
      </c>
      <c r="G6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23500</v>
      </c>
      <c r="H60">
        <f>Payment_Dataset[[#This Row],[Total Amount]]-Payment_Dataset[[#This Row],[Amount_Paid]]</f>
        <v>0</v>
      </c>
      <c r="I60">
        <v>23500</v>
      </c>
      <c r="J60">
        <v>0</v>
      </c>
      <c r="K60">
        <v>23500</v>
      </c>
      <c r="L60" t="s">
        <v>4799</v>
      </c>
      <c r="M60" t="s">
        <v>4908</v>
      </c>
    </row>
    <row r="61" spans="1:13" x14ac:dyDescent="0.3">
      <c r="A61" t="s">
        <v>4909</v>
      </c>
      <c r="B61" t="s">
        <v>180</v>
      </c>
      <c r="C61" t="s">
        <v>4308</v>
      </c>
      <c r="D61" s="1">
        <v>46200</v>
      </c>
      <c r="E61" t="s">
        <v>12</v>
      </c>
      <c r="F61" t="s">
        <v>6181</v>
      </c>
      <c r="G6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1">
        <f>Payment_Dataset[[#This Row],[Total Amount]]-Payment_Dataset[[#This Row],[Amount_Paid]]</f>
        <v>15600</v>
      </c>
      <c r="I61">
        <v>0</v>
      </c>
      <c r="J61">
        <v>15600</v>
      </c>
      <c r="K61">
        <v>15600</v>
      </c>
      <c r="L61" t="s">
        <v>4799</v>
      </c>
      <c r="M61" t="s">
        <v>4910</v>
      </c>
    </row>
    <row r="62" spans="1:13" x14ac:dyDescent="0.3">
      <c r="A62" t="s">
        <v>4911</v>
      </c>
      <c r="B62" t="s">
        <v>183</v>
      </c>
      <c r="C62" t="s">
        <v>2287</v>
      </c>
      <c r="D62" s="1">
        <v>46039</v>
      </c>
      <c r="E62" t="s">
        <v>12</v>
      </c>
      <c r="F62" t="s">
        <v>6181</v>
      </c>
      <c r="G6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2">
        <f>Payment_Dataset[[#This Row],[Total Amount]]-Payment_Dataset[[#This Row],[Amount_Paid]]</f>
        <v>39000</v>
      </c>
      <c r="I62">
        <v>0</v>
      </c>
      <c r="J62">
        <v>39000</v>
      </c>
      <c r="K62">
        <v>39000</v>
      </c>
      <c r="L62" t="s">
        <v>4799</v>
      </c>
      <c r="M62" t="s">
        <v>4912</v>
      </c>
    </row>
    <row r="63" spans="1:13" x14ac:dyDescent="0.3">
      <c r="A63" t="s">
        <v>4913</v>
      </c>
      <c r="B63" t="s">
        <v>186</v>
      </c>
      <c r="C63" t="s">
        <v>2277</v>
      </c>
      <c r="D63" s="1">
        <v>46157</v>
      </c>
      <c r="E63" t="s">
        <v>12</v>
      </c>
      <c r="F63" t="s">
        <v>6181</v>
      </c>
      <c r="G6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3">
        <f>Payment_Dataset[[#This Row],[Total Amount]]-Payment_Dataset[[#This Row],[Amount_Paid]]</f>
        <v>43200</v>
      </c>
      <c r="I63">
        <v>0</v>
      </c>
      <c r="J63">
        <v>43200</v>
      </c>
      <c r="K63">
        <v>43200</v>
      </c>
      <c r="L63" t="s">
        <v>4793</v>
      </c>
      <c r="M63" t="s">
        <v>4914</v>
      </c>
    </row>
    <row r="64" spans="1:13" x14ac:dyDescent="0.3">
      <c r="A64" t="s">
        <v>4915</v>
      </c>
      <c r="B64" t="s">
        <v>189</v>
      </c>
      <c r="C64" t="s">
        <v>1893</v>
      </c>
      <c r="D64" s="1">
        <v>46080</v>
      </c>
      <c r="E64" t="s">
        <v>12</v>
      </c>
      <c r="F64" t="s">
        <v>6181</v>
      </c>
      <c r="G6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4">
        <f>Payment_Dataset[[#This Row],[Total Amount]]-Payment_Dataset[[#This Row],[Amount_Paid]]</f>
        <v>34500</v>
      </c>
      <c r="I64">
        <v>0</v>
      </c>
      <c r="J64">
        <v>34500</v>
      </c>
      <c r="K64">
        <v>34500</v>
      </c>
      <c r="L64" t="s">
        <v>4793</v>
      </c>
      <c r="M64" t="s">
        <v>4916</v>
      </c>
    </row>
    <row r="65" spans="1:13" x14ac:dyDescent="0.3">
      <c r="A65" t="s">
        <v>4917</v>
      </c>
      <c r="B65" t="s">
        <v>191</v>
      </c>
      <c r="C65" t="s">
        <v>187</v>
      </c>
      <c r="D65" s="1">
        <v>46074</v>
      </c>
      <c r="E65" t="s">
        <v>38</v>
      </c>
      <c r="F65" t="s">
        <v>6180</v>
      </c>
      <c r="G6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23100</v>
      </c>
      <c r="H65">
        <f>Payment_Dataset[[#This Row],[Total Amount]]-Payment_Dataset[[#This Row],[Amount_Paid]]</f>
        <v>0</v>
      </c>
      <c r="I65">
        <v>23100</v>
      </c>
      <c r="J65">
        <v>0</v>
      </c>
      <c r="K65">
        <v>23100</v>
      </c>
      <c r="L65" t="s">
        <v>4793</v>
      </c>
      <c r="M65" t="s">
        <v>4918</v>
      </c>
    </row>
    <row r="66" spans="1:13" x14ac:dyDescent="0.3">
      <c r="A66" t="s">
        <v>4919</v>
      </c>
      <c r="B66" t="s">
        <v>194</v>
      </c>
      <c r="C66" t="s">
        <v>1258</v>
      </c>
      <c r="D66" s="1">
        <v>46068</v>
      </c>
      <c r="E66" t="s">
        <v>12</v>
      </c>
      <c r="F66" t="s">
        <v>6181</v>
      </c>
      <c r="G6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6">
        <f>Payment_Dataset[[#This Row],[Total Amount]]-Payment_Dataset[[#This Row],[Amount_Paid]]</f>
        <v>9400</v>
      </c>
      <c r="I66">
        <v>0</v>
      </c>
      <c r="J66">
        <v>9400</v>
      </c>
      <c r="K66">
        <v>9400</v>
      </c>
      <c r="L66" t="s">
        <v>4799</v>
      </c>
      <c r="M66" t="s">
        <v>4920</v>
      </c>
    </row>
    <row r="67" spans="1:13" x14ac:dyDescent="0.3">
      <c r="A67" t="s">
        <v>4921</v>
      </c>
      <c r="B67" t="s">
        <v>196</v>
      </c>
      <c r="C67" t="s">
        <v>2237</v>
      </c>
      <c r="D67" s="1">
        <v>46101</v>
      </c>
      <c r="E67" t="s">
        <v>38</v>
      </c>
      <c r="F67" t="s">
        <v>6180</v>
      </c>
      <c r="G6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19500</v>
      </c>
      <c r="H67">
        <f>Payment_Dataset[[#This Row],[Total Amount]]-Payment_Dataset[[#This Row],[Amount_Paid]]</f>
        <v>0</v>
      </c>
      <c r="I67">
        <v>19500</v>
      </c>
      <c r="J67">
        <v>0</v>
      </c>
      <c r="K67">
        <v>19500</v>
      </c>
      <c r="L67" t="s">
        <v>4790</v>
      </c>
      <c r="M67" t="s">
        <v>4922</v>
      </c>
    </row>
    <row r="68" spans="1:13" x14ac:dyDescent="0.3">
      <c r="A68" t="s">
        <v>4923</v>
      </c>
      <c r="B68" t="s">
        <v>198</v>
      </c>
      <c r="C68" t="s">
        <v>2623</v>
      </c>
      <c r="D68" s="1">
        <v>46167</v>
      </c>
      <c r="E68" t="s">
        <v>38</v>
      </c>
      <c r="F68" t="s">
        <v>6180</v>
      </c>
      <c r="G6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6500</v>
      </c>
      <c r="H68">
        <f>Payment_Dataset[[#This Row],[Total Amount]]-Payment_Dataset[[#This Row],[Amount_Paid]]</f>
        <v>0</v>
      </c>
      <c r="I68">
        <v>6500</v>
      </c>
      <c r="J68">
        <v>0</v>
      </c>
      <c r="K68">
        <v>6500</v>
      </c>
      <c r="L68" t="s">
        <v>4799</v>
      </c>
      <c r="M68" t="s">
        <v>4924</v>
      </c>
    </row>
    <row r="69" spans="1:13" x14ac:dyDescent="0.3">
      <c r="A69" t="s">
        <v>4925</v>
      </c>
      <c r="B69" t="s">
        <v>200</v>
      </c>
      <c r="C69" t="s">
        <v>4216</v>
      </c>
      <c r="D69" s="1">
        <v>46130</v>
      </c>
      <c r="E69" t="s">
        <v>38</v>
      </c>
      <c r="F69" t="s">
        <v>6180</v>
      </c>
      <c r="G6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52500</v>
      </c>
      <c r="H69">
        <f>Payment_Dataset[[#This Row],[Total Amount]]-Payment_Dataset[[#This Row],[Amount_Paid]]</f>
        <v>0</v>
      </c>
      <c r="I69">
        <v>52500</v>
      </c>
      <c r="J69">
        <v>0</v>
      </c>
      <c r="K69">
        <v>52500</v>
      </c>
      <c r="L69" t="s">
        <v>4790</v>
      </c>
      <c r="M69" t="s">
        <v>4926</v>
      </c>
    </row>
    <row r="70" spans="1:13" x14ac:dyDescent="0.3">
      <c r="A70" t="s">
        <v>4927</v>
      </c>
      <c r="B70" t="s">
        <v>202</v>
      </c>
      <c r="C70" t="s">
        <v>3204</v>
      </c>
      <c r="D70" s="1">
        <v>46073</v>
      </c>
      <c r="E70" t="s">
        <v>12</v>
      </c>
      <c r="F70" t="s">
        <v>6181</v>
      </c>
      <c r="G7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70">
        <f>Payment_Dataset[[#This Row],[Total Amount]]-Payment_Dataset[[#This Row],[Amount_Paid]]</f>
        <v>26800</v>
      </c>
      <c r="I70">
        <v>0</v>
      </c>
      <c r="J70">
        <v>26800</v>
      </c>
      <c r="K70">
        <v>26800</v>
      </c>
      <c r="L70" t="s">
        <v>4790</v>
      </c>
      <c r="M70" t="s">
        <v>4928</v>
      </c>
    </row>
    <row r="71" spans="1:13" x14ac:dyDescent="0.3">
      <c r="A71" t="s">
        <v>4929</v>
      </c>
      <c r="B71" t="s">
        <v>205</v>
      </c>
      <c r="C71" t="s">
        <v>1102</v>
      </c>
      <c r="D71" s="1">
        <v>46104</v>
      </c>
      <c r="E71" t="s">
        <v>12</v>
      </c>
      <c r="F71" t="s">
        <v>6181</v>
      </c>
      <c r="G7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71">
        <f>Payment_Dataset[[#This Row],[Total Amount]]-Payment_Dataset[[#This Row],[Amount_Paid]]</f>
        <v>10400</v>
      </c>
      <c r="I71">
        <v>0</v>
      </c>
      <c r="J71">
        <v>10400</v>
      </c>
      <c r="K71">
        <v>10400</v>
      </c>
      <c r="L71" t="s">
        <v>4799</v>
      </c>
      <c r="M71" t="s">
        <v>4930</v>
      </c>
    </row>
    <row r="72" spans="1:13" x14ac:dyDescent="0.3">
      <c r="A72" t="s">
        <v>4931</v>
      </c>
      <c r="B72" t="s">
        <v>207</v>
      </c>
      <c r="C72" t="s">
        <v>992</v>
      </c>
      <c r="D72" s="1">
        <v>46174</v>
      </c>
      <c r="E72" t="s">
        <v>12</v>
      </c>
      <c r="F72" t="s">
        <v>6181</v>
      </c>
      <c r="G7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72">
        <f>Payment_Dataset[[#This Row],[Total Amount]]-Payment_Dataset[[#This Row],[Amount_Paid]]</f>
        <v>14000</v>
      </c>
      <c r="I72">
        <v>0</v>
      </c>
      <c r="J72">
        <v>14000</v>
      </c>
      <c r="K72">
        <v>14000</v>
      </c>
      <c r="L72" t="s">
        <v>4799</v>
      </c>
      <c r="M72" t="s">
        <v>4932</v>
      </c>
    </row>
    <row r="73" spans="1:13" x14ac:dyDescent="0.3">
      <c r="A73" t="s">
        <v>4933</v>
      </c>
      <c r="B73" t="s">
        <v>209</v>
      </c>
      <c r="C73" t="s">
        <v>3395</v>
      </c>
      <c r="D73" s="1">
        <v>46032</v>
      </c>
      <c r="E73" t="s">
        <v>12</v>
      </c>
      <c r="F73" t="s">
        <v>6181</v>
      </c>
      <c r="G7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73">
        <f>Payment_Dataset[[#This Row],[Total Amount]]-Payment_Dataset[[#This Row],[Amount_Paid]]</f>
        <v>24000</v>
      </c>
      <c r="I73">
        <v>0</v>
      </c>
      <c r="J73">
        <v>24000</v>
      </c>
      <c r="K73">
        <v>24000</v>
      </c>
      <c r="L73" t="s">
        <v>4796</v>
      </c>
      <c r="M73" t="s">
        <v>4934</v>
      </c>
    </row>
    <row r="74" spans="1:13" x14ac:dyDescent="0.3">
      <c r="A74" t="s">
        <v>4935</v>
      </c>
      <c r="B74" t="s">
        <v>212</v>
      </c>
      <c r="C74" t="s">
        <v>970</v>
      </c>
      <c r="D74" s="1">
        <v>46046</v>
      </c>
      <c r="E74" t="s">
        <v>38</v>
      </c>
      <c r="F74" t="s">
        <v>6180</v>
      </c>
      <c r="G7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10400</v>
      </c>
      <c r="H74">
        <f>Payment_Dataset[[#This Row],[Total Amount]]-Payment_Dataset[[#This Row],[Amount_Paid]]</f>
        <v>0</v>
      </c>
      <c r="I74">
        <v>10400</v>
      </c>
      <c r="J74">
        <v>0</v>
      </c>
      <c r="K74">
        <v>10400</v>
      </c>
      <c r="L74" t="s">
        <v>4790</v>
      </c>
      <c r="M74" t="s">
        <v>4936</v>
      </c>
    </row>
    <row r="75" spans="1:13" x14ac:dyDescent="0.3">
      <c r="A75" t="s">
        <v>4937</v>
      </c>
      <c r="B75" t="s">
        <v>215</v>
      </c>
      <c r="C75" t="s">
        <v>1343</v>
      </c>
      <c r="D75" s="1">
        <v>46036</v>
      </c>
      <c r="E75" t="s">
        <v>38</v>
      </c>
      <c r="F75" t="s">
        <v>6180</v>
      </c>
      <c r="G7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24000</v>
      </c>
      <c r="H75">
        <f>Payment_Dataset[[#This Row],[Total Amount]]-Payment_Dataset[[#This Row],[Amount_Paid]]</f>
        <v>0</v>
      </c>
      <c r="I75">
        <v>24000</v>
      </c>
      <c r="J75">
        <v>0</v>
      </c>
      <c r="K75">
        <v>24000</v>
      </c>
      <c r="L75" t="s">
        <v>4796</v>
      </c>
      <c r="M75" t="s">
        <v>4938</v>
      </c>
    </row>
    <row r="76" spans="1:13" x14ac:dyDescent="0.3">
      <c r="A76" t="s">
        <v>4939</v>
      </c>
      <c r="B76" t="s">
        <v>217</v>
      </c>
      <c r="C76" t="s">
        <v>4189</v>
      </c>
      <c r="D76" s="1">
        <v>46091</v>
      </c>
      <c r="E76" t="s">
        <v>12</v>
      </c>
      <c r="F76" t="s">
        <v>6181</v>
      </c>
      <c r="G7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76">
        <f>Payment_Dataset[[#This Row],[Total Amount]]-Payment_Dataset[[#This Row],[Amount_Paid]]</f>
        <v>28000</v>
      </c>
      <c r="I76">
        <v>0</v>
      </c>
      <c r="J76">
        <v>28000</v>
      </c>
      <c r="K76">
        <v>28000</v>
      </c>
      <c r="L76" t="s">
        <v>4799</v>
      </c>
      <c r="M76" t="s">
        <v>4940</v>
      </c>
    </row>
    <row r="77" spans="1:13" x14ac:dyDescent="0.3">
      <c r="A77" t="s">
        <v>4941</v>
      </c>
      <c r="B77" t="s">
        <v>220</v>
      </c>
      <c r="C77" t="s">
        <v>1122</v>
      </c>
      <c r="D77" s="1">
        <v>46169</v>
      </c>
      <c r="E77" t="s">
        <v>38</v>
      </c>
      <c r="F77" t="s">
        <v>6180</v>
      </c>
      <c r="G7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28000</v>
      </c>
      <c r="H77">
        <f>Payment_Dataset[[#This Row],[Total Amount]]-Payment_Dataset[[#This Row],[Amount_Paid]]</f>
        <v>0</v>
      </c>
      <c r="I77">
        <v>28000</v>
      </c>
      <c r="J77">
        <v>0</v>
      </c>
      <c r="K77">
        <v>28000</v>
      </c>
      <c r="L77" t="s">
        <v>4787</v>
      </c>
      <c r="M77" t="s">
        <v>4942</v>
      </c>
    </row>
    <row r="78" spans="1:13" x14ac:dyDescent="0.3">
      <c r="A78" t="s">
        <v>4943</v>
      </c>
      <c r="B78" t="s">
        <v>224</v>
      </c>
      <c r="C78" t="s">
        <v>1565</v>
      </c>
      <c r="D78" s="1">
        <v>46084</v>
      </c>
      <c r="E78" t="s">
        <v>12</v>
      </c>
      <c r="F78" t="s">
        <v>6181</v>
      </c>
      <c r="G7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78">
        <f>Payment_Dataset[[#This Row],[Total Amount]]-Payment_Dataset[[#This Row],[Amount_Paid]]</f>
        <v>7700</v>
      </c>
      <c r="I78">
        <v>0</v>
      </c>
      <c r="J78">
        <v>7700</v>
      </c>
      <c r="K78">
        <v>7700</v>
      </c>
      <c r="L78" t="s">
        <v>4787</v>
      </c>
      <c r="M78" t="s">
        <v>4944</v>
      </c>
    </row>
    <row r="79" spans="1:13" x14ac:dyDescent="0.3">
      <c r="A79" t="s">
        <v>4945</v>
      </c>
      <c r="B79" t="s">
        <v>226</v>
      </c>
      <c r="C79" t="s">
        <v>319</v>
      </c>
      <c r="D79" s="1">
        <v>46061</v>
      </c>
      <c r="E79" t="s">
        <v>38</v>
      </c>
      <c r="F79" t="s">
        <v>6180</v>
      </c>
      <c r="G7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15400</v>
      </c>
      <c r="H79">
        <f>Payment_Dataset[[#This Row],[Total Amount]]-Payment_Dataset[[#This Row],[Amount_Paid]]</f>
        <v>0</v>
      </c>
      <c r="I79">
        <v>15400</v>
      </c>
      <c r="J79">
        <v>0</v>
      </c>
      <c r="K79">
        <v>15400</v>
      </c>
      <c r="L79" t="s">
        <v>4793</v>
      </c>
      <c r="M79" t="s">
        <v>4946</v>
      </c>
    </row>
    <row r="80" spans="1:13" x14ac:dyDescent="0.3">
      <c r="A80" t="s">
        <v>4947</v>
      </c>
      <c r="B80" t="s">
        <v>229</v>
      </c>
      <c r="C80" t="s">
        <v>1068</v>
      </c>
      <c r="D80" s="1">
        <v>46087</v>
      </c>
      <c r="E80" t="s">
        <v>38</v>
      </c>
      <c r="F80" t="s">
        <v>6180</v>
      </c>
      <c r="G8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45500</v>
      </c>
      <c r="H80">
        <f>Payment_Dataset[[#This Row],[Total Amount]]-Payment_Dataset[[#This Row],[Amount_Paid]]</f>
        <v>0</v>
      </c>
      <c r="I80">
        <v>45500</v>
      </c>
      <c r="J80">
        <v>0</v>
      </c>
      <c r="K80">
        <v>45500</v>
      </c>
      <c r="L80" t="s">
        <v>4787</v>
      </c>
      <c r="M80" t="s">
        <v>4948</v>
      </c>
    </row>
    <row r="81" spans="1:13" x14ac:dyDescent="0.3">
      <c r="A81" t="s">
        <v>4949</v>
      </c>
      <c r="B81" t="s">
        <v>231</v>
      </c>
      <c r="C81" t="s">
        <v>2695</v>
      </c>
      <c r="D81" s="1">
        <v>46066</v>
      </c>
      <c r="E81" t="s">
        <v>12</v>
      </c>
      <c r="F81" t="s">
        <v>6181</v>
      </c>
      <c r="G8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81">
        <f>Payment_Dataset[[#This Row],[Total Amount]]-Payment_Dataset[[#This Row],[Amount_Paid]]</f>
        <v>12900</v>
      </c>
      <c r="I81">
        <v>0</v>
      </c>
      <c r="J81">
        <v>12900</v>
      </c>
      <c r="K81">
        <v>12900</v>
      </c>
      <c r="L81" t="s">
        <v>4793</v>
      </c>
      <c r="M81" t="s">
        <v>4950</v>
      </c>
    </row>
    <row r="82" spans="1:13" x14ac:dyDescent="0.3">
      <c r="A82" t="s">
        <v>4951</v>
      </c>
      <c r="B82" t="s">
        <v>233</v>
      </c>
      <c r="C82" t="s">
        <v>1066</v>
      </c>
      <c r="D82" s="1">
        <v>46113</v>
      </c>
      <c r="E82" t="s">
        <v>12</v>
      </c>
      <c r="F82" t="s">
        <v>6181</v>
      </c>
      <c r="G8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82">
        <f>Payment_Dataset[[#This Row],[Total Amount]]-Payment_Dataset[[#This Row],[Amount_Paid]]</f>
        <v>15400</v>
      </c>
      <c r="I82">
        <v>0</v>
      </c>
      <c r="J82">
        <v>15400</v>
      </c>
      <c r="K82">
        <v>15400</v>
      </c>
      <c r="L82" t="s">
        <v>4790</v>
      </c>
      <c r="M82" t="s">
        <v>4952</v>
      </c>
    </row>
    <row r="83" spans="1:13" x14ac:dyDescent="0.3">
      <c r="A83" t="s">
        <v>4953</v>
      </c>
      <c r="B83" t="s">
        <v>235</v>
      </c>
      <c r="C83" t="s">
        <v>1487</v>
      </c>
      <c r="D83" s="1">
        <v>46135</v>
      </c>
      <c r="E83" t="s">
        <v>12</v>
      </c>
      <c r="F83" t="s">
        <v>6181</v>
      </c>
      <c r="G8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83">
        <f>Payment_Dataset[[#This Row],[Total Amount]]-Payment_Dataset[[#This Row],[Amount_Paid]]</f>
        <v>6200</v>
      </c>
      <c r="I83">
        <v>0</v>
      </c>
      <c r="J83">
        <v>6200</v>
      </c>
      <c r="K83">
        <v>6200</v>
      </c>
      <c r="L83" t="s">
        <v>4787</v>
      </c>
      <c r="M83" t="s">
        <v>4954</v>
      </c>
    </row>
    <row r="84" spans="1:13" x14ac:dyDescent="0.3">
      <c r="A84" t="s">
        <v>4955</v>
      </c>
      <c r="B84" t="s">
        <v>238</v>
      </c>
      <c r="C84" t="s">
        <v>1158</v>
      </c>
      <c r="D84" s="1">
        <v>46117</v>
      </c>
      <c r="E84" t="s">
        <v>38</v>
      </c>
      <c r="F84" t="s">
        <v>6180</v>
      </c>
      <c r="G8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11000</v>
      </c>
      <c r="H84">
        <f>Payment_Dataset[[#This Row],[Total Amount]]-Payment_Dataset[[#This Row],[Amount_Paid]]</f>
        <v>0</v>
      </c>
      <c r="I84">
        <v>11000</v>
      </c>
      <c r="J84">
        <v>0</v>
      </c>
      <c r="K84">
        <v>11000</v>
      </c>
      <c r="L84" t="s">
        <v>4793</v>
      </c>
      <c r="M84" t="s">
        <v>4956</v>
      </c>
    </row>
    <row r="85" spans="1:13" x14ac:dyDescent="0.3">
      <c r="A85" t="s">
        <v>4957</v>
      </c>
      <c r="B85" t="s">
        <v>241</v>
      </c>
      <c r="C85" t="s">
        <v>2881</v>
      </c>
      <c r="D85" s="1">
        <v>46060</v>
      </c>
      <c r="E85" t="s">
        <v>38</v>
      </c>
      <c r="F85" t="s">
        <v>6180</v>
      </c>
      <c r="G8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4200</v>
      </c>
      <c r="H85">
        <f>Payment_Dataset[[#This Row],[Total Amount]]-Payment_Dataset[[#This Row],[Amount_Paid]]</f>
        <v>0</v>
      </c>
      <c r="I85">
        <v>4200</v>
      </c>
      <c r="J85">
        <v>0</v>
      </c>
      <c r="K85">
        <v>4200</v>
      </c>
      <c r="L85" t="s">
        <v>4799</v>
      </c>
      <c r="M85" t="s">
        <v>4958</v>
      </c>
    </row>
    <row r="86" spans="1:13" x14ac:dyDescent="0.3">
      <c r="A86" t="s">
        <v>4959</v>
      </c>
      <c r="B86" t="s">
        <v>243</v>
      </c>
      <c r="C86" t="s">
        <v>2135</v>
      </c>
      <c r="D86" s="1">
        <v>46090</v>
      </c>
      <c r="E86" t="s">
        <v>38</v>
      </c>
      <c r="F86" t="s">
        <v>6180</v>
      </c>
      <c r="G8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6500</v>
      </c>
      <c r="H86">
        <f>Payment_Dataset[[#This Row],[Total Amount]]-Payment_Dataset[[#This Row],[Amount_Paid]]</f>
        <v>0</v>
      </c>
      <c r="I86">
        <v>6500</v>
      </c>
      <c r="J86">
        <v>0</v>
      </c>
      <c r="K86">
        <v>6500</v>
      </c>
      <c r="L86" t="s">
        <v>4796</v>
      </c>
      <c r="M86" t="s">
        <v>4960</v>
      </c>
    </row>
    <row r="87" spans="1:13" x14ac:dyDescent="0.3">
      <c r="A87" t="s">
        <v>4961</v>
      </c>
      <c r="B87" t="s">
        <v>246</v>
      </c>
      <c r="C87" t="s">
        <v>2437</v>
      </c>
      <c r="D87" s="1">
        <v>46047</v>
      </c>
      <c r="E87" t="s">
        <v>12</v>
      </c>
      <c r="F87" t="s">
        <v>6181</v>
      </c>
      <c r="G8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87">
        <f>Payment_Dataset[[#This Row],[Total Amount]]-Payment_Dataset[[#This Row],[Amount_Paid]]</f>
        <v>6900</v>
      </c>
      <c r="I87">
        <v>0</v>
      </c>
      <c r="J87">
        <v>6900</v>
      </c>
      <c r="K87">
        <v>6900</v>
      </c>
      <c r="L87" t="s">
        <v>4787</v>
      </c>
      <c r="M87" t="s">
        <v>4962</v>
      </c>
    </row>
    <row r="88" spans="1:13" x14ac:dyDescent="0.3">
      <c r="A88" t="s">
        <v>4963</v>
      </c>
      <c r="B88" t="s">
        <v>248</v>
      </c>
      <c r="C88" t="s">
        <v>1296</v>
      </c>
      <c r="D88" s="1">
        <v>46154</v>
      </c>
      <c r="E88" t="s">
        <v>12</v>
      </c>
      <c r="F88" t="s">
        <v>6181</v>
      </c>
      <c r="G8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88">
        <f>Payment_Dataset[[#This Row],[Total Amount]]-Payment_Dataset[[#This Row],[Amount_Paid]]</f>
        <v>21600</v>
      </c>
      <c r="I88">
        <v>0</v>
      </c>
      <c r="J88">
        <v>21600</v>
      </c>
      <c r="K88">
        <v>21600</v>
      </c>
      <c r="L88" t="s">
        <v>4793</v>
      </c>
      <c r="M88" t="s">
        <v>4964</v>
      </c>
    </row>
    <row r="89" spans="1:13" x14ac:dyDescent="0.3">
      <c r="A89" t="s">
        <v>4965</v>
      </c>
      <c r="B89" t="s">
        <v>250</v>
      </c>
      <c r="C89" t="s">
        <v>2811</v>
      </c>
      <c r="D89" s="1">
        <v>46187</v>
      </c>
      <c r="E89" t="s">
        <v>12</v>
      </c>
      <c r="F89" t="s">
        <v>6181</v>
      </c>
      <c r="G8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89">
        <f>Payment_Dataset[[#This Row],[Total Amount]]-Payment_Dataset[[#This Row],[Amount_Paid]]</f>
        <v>4300</v>
      </c>
      <c r="I89">
        <v>0</v>
      </c>
      <c r="J89">
        <v>4300</v>
      </c>
      <c r="K89">
        <v>4300</v>
      </c>
      <c r="L89" t="s">
        <v>4796</v>
      </c>
      <c r="M89" t="s">
        <v>4966</v>
      </c>
    </row>
    <row r="90" spans="1:13" x14ac:dyDescent="0.3">
      <c r="A90" t="s">
        <v>4967</v>
      </c>
      <c r="B90" t="s">
        <v>253</v>
      </c>
      <c r="C90" t="s">
        <v>2663</v>
      </c>
      <c r="D90" s="1">
        <v>46198</v>
      </c>
      <c r="E90" t="s">
        <v>12</v>
      </c>
      <c r="F90" t="s">
        <v>6181</v>
      </c>
      <c r="G9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90">
        <f>Payment_Dataset[[#This Row],[Total Amount]]-Payment_Dataset[[#This Row],[Amount_Paid]]</f>
        <v>41500</v>
      </c>
      <c r="I90">
        <v>0</v>
      </c>
      <c r="J90">
        <v>41500</v>
      </c>
      <c r="K90">
        <v>41500</v>
      </c>
      <c r="L90" t="s">
        <v>4793</v>
      </c>
      <c r="M90" t="s">
        <v>4968</v>
      </c>
    </row>
    <row r="91" spans="1:13" x14ac:dyDescent="0.3">
      <c r="A91" t="s">
        <v>4969</v>
      </c>
      <c r="B91" t="s">
        <v>256</v>
      </c>
      <c r="C91" t="s">
        <v>4064</v>
      </c>
      <c r="D91" s="1">
        <v>46145</v>
      </c>
      <c r="E91" t="s">
        <v>76</v>
      </c>
      <c r="F91" t="s">
        <v>6183</v>
      </c>
      <c r="G9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91">
        <f>Payment_Dataset[[#This Row],[Total Amount]]-Payment_Dataset[[#This Row],[Amount_Paid]]</f>
        <v>0</v>
      </c>
      <c r="I91">
        <v>0</v>
      </c>
      <c r="J91">
        <v>0</v>
      </c>
      <c r="K91">
        <v>0</v>
      </c>
      <c r="L91" t="s">
        <v>6178</v>
      </c>
      <c r="M91" t="s">
        <v>4970</v>
      </c>
    </row>
    <row r="92" spans="1:13" x14ac:dyDescent="0.3">
      <c r="A92" t="s">
        <v>4971</v>
      </c>
      <c r="B92" t="s">
        <v>259</v>
      </c>
      <c r="C92" t="s">
        <v>3901</v>
      </c>
      <c r="D92" s="1">
        <v>46125</v>
      </c>
      <c r="E92" t="s">
        <v>12</v>
      </c>
      <c r="F92" t="s">
        <v>6181</v>
      </c>
      <c r="G9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92">
        <f>Payment_Dataset[[#This Row],[Total Amount]]-Payment_Dataset[[#This Row],[Amount_Paid]]</f>
        <v>41500</v>
      </c>
      <c r="I92">
        <v>0</v>
      </c>
      <c r="J92">
        <v>41500</v>
      </c>
      <c r="K92">
        <v>41500</v>
      </c>
      <c r="L92" t="s">
        <v>4799</v>
      </c>
      <c r="M92" t="s">
        <v>4972</v>
      </c>
    </row>
    <row r="93" spans="1:13" x14ac:dyDescent="0.3">
      <c r="A93" t="s">
        <v>4973</v>
      </c>
      <c r="B93" t="s">
        <v>261</v>
      </c>
      <c r="C93" t="s">
        <v>2663</v>
      </c>
      <c r="D93" s="1">
        <v>46078</v>
      </c>
      <c r="E93" t="s">
        <v>12</v>
      </c>
      <c r="F93" t="s">
        <v>6181</v>
      </c>
      <c r="G9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93">
        <f>Payment_Dataset[[#This Row],[Total Amount]]-Payment_Dataset[[#This Row],[Amount_Paid]]</f>
        <v>14100</v>
      </c>
      <c r="I93">
        <v>0</v>
      </c>
      <c r="J93">
        <v>14100</v>
      </c>
      <c r="K93">
        <v>14100</v>
      </c>
      <c r="L93" t="s">
        <v>4787</v>
      </c>
      <c r="M93" t="s">
        <v>4974</v>
      </c>
    </row>
    <row r="94" spans="1:13" x14ac:dyDescent="0.3">
      <c r="A94" t="s">
        <v>4975</v>
      </c>
      <c r="B94" t="s">
        <v>264</v>
      </c>
      <c r="C94" t="s">
        <v>2914</v>
      </c>
      <c r="D94" s="1">
        <v>46118</v>
      </c>
      <c r="E94" t="s">
        <v>12</v>
      </c>
      <c r="F94" t="s">
        <v>6181</v>
      </c>
      <c r="G9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94">
        <f>Payment_Dataset[[#This Row],[Total Amount]]-Payment_Dataset[[#This Row],[Amount_Paid]]</f>
        <v>42000</v>
      </c>
      <c r="I94">
        <v>0</v>
      </c>
      <c r="J94">
        <v>42000</v>
      </c>
      <c r="K94">
        <v>42000</v>
      </c>
      <c r="L94" t="s">
        <v>4787</v>
      </c>
      <c r="M94" t="s">
        <v>4976</v>
      </c>
    </row>
    <row r="95" spans="1:13" x14ac:dyDescent="0.3">
      <c r="A95" t="s">
        <v>4977</v>
      </c>
      <c r="B95" t="s">
        <v>266</v>
      </c>
      <c r="C95" t="s">
        <v>1384</v>
      </c>
      <c r="D95" s="1">
        <v>46096</v>
      </c>
      <c r="E95" t="s">
        <v>38</v>
      </c>
      <c r="F95" t="s">
        <v>6180</v>
      </c>
      <c r="G9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30100</v>
      </c>
      <c r="H95">
        <f>Payment_Dataset[[#This Row],[Total Amount]]-Payment_Dataset[[#This Row],[Amount_Paid]]</f>
        <v>0</v>
      </c>
      <c r="I95">
        <v>30100</v>
      </c>
      <c r="J95">
        <v>0</v>
      </c>
      <c r="K95">
        <v>30100</v>
      </c>
      <c r="L95" t="s">
        <v>4796</v>
      </c>
      <c r="M95" t="s">
        <v>4978</v>
      </c>
    </row>
    <row r="96" spans="1:13" x14ac:dyDescent="0.3">
      <c r="A96" t="s">
        <v>4979</v>
      </c>
      <c r="B96" t="s">
        <v>268</v>
      </c>
      <c r="C96" t="s">
        <v>4417</v>
      </c>
      <c r="D96" s="1">
        <v>46050</v>
      </c>
      <c r="E96" t="s">
        <v>49</v>
      </c>
      <c r="F96" t="s">
        <v>6182</v>
      </c>
      <c r="G9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8680</v>
      </c>
      <c r="H96">
        <f>Payment_Dataset[[#This Row],[Total Amount]]-Payment_Dataset[[#This Row],[Amount_Paid]]</f>
        <v>16120</v>
      </c>
      <c r="I96">
        <v>8680</v>
      </c>
      <c r="J96">
        <v>16120</v>
      </c>
      <c r="K96">
        <v>24800</v>
      </c>
      <c r="L96" t="s">
        <v>4796</v>
      </c>
      <c r="M96" t="s">
        <v>4980</v>
      </c>
    </row>
    <row r="97" spans="1:13" x14ac:dyDescent="0.3">
      <c r="A97" t="s">
        <v>4981</v>
      </c>
      <c r="B97" t="s">
        <v>271</v>
      </c>
      <c r="C97" t="s">
        <v>2465</v>
      </c>
      <c r="D97" s="1">
        <v>46025</v>
      </c>
      <c r="E97" t="s">
        <v>38</v>
      </c>
      <c r="F97" t="s">
        <v>6180</v>
      </c>
      <c r="G9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7000</v>
      </c>
      <c r="H97">
        <f>Payment_Dataset[[#This Row],[Total Amount]]-Payment_Dataset[[#This Row],[Amount_Paid]]</f>
        <v>0</v>
      </c>
      <c r="I97">
        <v>7000</v>
      </c>
      <c r="J97">
        <v>0</v>
      </c>
      <c r="K97">
        <v>7000</v>
      </c>
      <c r="L97" t="s">
        <v>4796</v>
      </c>
      <c r="M97" t="s">
        <v>4982</v>
      </c>
    </row>
    <row r="98" spans="1:13" x14ac:dyDescent="0.3">
      <c r="A98" t="s">
        <v>4983</v>
      </c>
      <c r="B98" t="s">
        <v>274</v>
      </c>
      <c r="C98" t="s">
        <v>2955</v>
      </c>
      <c r="D98" s="1">
        <v>46093</v>
      </c>
      <c r="E98" t="s">
        <v>12</v>
      </c>
      <c r="F98" t="s">
        <v>6181</v>
      </c>
      <c r="G9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98">
        <f>Payment_Dataset[[#This Row],[Total Amount]]-Payment_Dataset[[#This Row],[Amount_Paid]]</f>
        <v>7700</v>
      </c>
      <c r="I98">
        <v>0</v>
      </c>
      <c r="J98">
        <v>7700</v>
      </c>
      <c r="K98">
        <v>7700</v>
      </c>
      <c r="L98" t="s">
        <v>4796</v>
      </c>
      <c r="M98" t="s">
        <v>4984</v>
      </c>
    </row>
    <row r="99" spans="1:13" x14ac:dyDescent="0.3">
      <c r="A99" t="s">
        <v>4985</v>
      </c>
      <c r="B99" t="s">
        <v>277</v>
      </c>
      <c r="C99" t="s">
        <v>1582</v>
      </c>
      <c r="D99" s="1">
        <v>46172</v>
      </c>
      <c r="E99" t="s">
        <v>38</v>
      </c>
      <c r="F99" t="s">
        <v>6180</v>
      </c>
      <c r="G9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9400</v>
      </c>
      <c r="H99">
        <f>Payment_Dataset[[#This Row],[Total Amount]]-Payment_Dataset[[#This Row],[Amount_Paid]]</f>
        <v>0</v>
      </c>
      <c r="I99">
        <v>9400</v>
      </c>
      <c r="J99">
        <v>0</v>
      </c>
      <c r="K99">
        <v>9400</v>
      </c>
      <c r="L99" t="s">
        <v>4793</v>
      </c>
      <c r="M99" t="s">
        <v>4986</v>
      </c>
    </row>
    <row r="100" spans="1:13" x14ac:dyDescent="0.3">
      <c r="A100" t="s">
        <v>4987</v>
      </c>
      <c r="B100" t="s">
        <v>280</v>
      </c>
      <c r="C100" t="s">
        <v>345</v>
      </c>
      <c r="D100" s="1">
        <v>46169</v>
      </c>
      <c r="E100" t="s">
        <v>38</v>
      </c>
      <c r="F100" t="s">
        <v>6180</v>
      </c>
      <c r="G10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46200</v>
      </c>
      <c r="H100">
        <f>Payment_Dataset[[#This Row],[Total Amount]]-Payment_Dataset[[#This Row],[Amount_Paid]]</f>
        <v>0</v>
      </c>
      <c r="I100">
        <v>46200</v>
      </c>
      <c r="J100">
        <v>0</v>
      </c>
      <c r="K100">
        <v>46200</v>
      </c>
      <c r="L100" t="s">
        <v>4790</v>
      </c>
      <c r="M100" t="s">
        <v>4988</v>
      </c>
    </row>
    <row r="101" spans="1:13" x14ac:dyDescent="0.3">
      <c r="A101" t="s">
        <v>4989</v>
      </c>
      <c r="B101" t="s">
        <v>282</v>
      </c>
      <c r="C101" t="s">
        <v>537</v>
      </c>
      <c r="D101" s="1">
        <v>46057</v>
      </c>
      <c r="E101" t="s">
        <v>76</v>
      </c>
      <c r="F101" t="s">
        <v>6183</v>
      </c>
      <c r="G10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01">
        <f>Payment_Dataset[[#This Row],[Total Amount]]-Payment_Dataset[[#This Row],[Amount_Paid]]</f>
        <v>0</v>
      </c>
      <c r="I101">
        <v>0</v>
      </c>
      <c r="J101">
        <v>0</v>
      </c>
      <c r="K101">
        <v>0</v>
      </c>
      <c r="L101" t="s">
        <v>6178</v>
      </c>
      <c r="M101" t="s">
        <v>4990</v>
      </c>
    </row>
    <row r="102" spans="1:13" x14ac:dyDescent="0.3">
      <c r="A102" t="s">
        <v>4991</v>
      </c>
      <c r="B102" t="s">
        <v>284</v>
      </c>
      <c r="C102" t="s">
        <v>1907</v>
      </c>
      <c r="D102" s="1">
        <v>46201</v>
      </c>
      <c r="E102" t="s">
        <v>12</v>
      </c>
      <c r="F102" t="s">
        <v>6181</v>
      </c>
      <c r="G10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02">
        <f>Payment_Dataset[[#This Row],[Total Amount]]-Payment_Dataset[[#This Row],[Amount_Paid]]</f>
        <v>5400</v>
      </c>
      <c r="I102">
        <v>0</v>
      </c>
      <c r="J102">
        <v>5400</v>
      </c>
      <c r="K102">
        <v>5400</v>
      </c>
      <c r="L102" t="s">
        <v>4796</v>
      </c>
      <c r="M102" t="s">
        <v>4992</v>
      </c>
    </row>
    <row r="103" spans="1:13" x14ac:dyDescent="0.3">
      <c r="A103" t="s">
        <v>4993</v>
      </c>
      <c r="B103" t="s">
        <v>286</v>
      </c>
      <c r="C103" t="s">
        <v>357</v>
      </c>
      <c r="D103" s="1">
        <v>46088</v>
      </c>
      <c r="E103" t="s">
        <v>12</v>
      </c>
      <c r="F103" t="s">
        <v>6181</v>
      </c>
      <c r="G10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03">
        <f>Payment_Dataset[[#This Row],[Total Amount]]-Payment_Dataset[[#This Row],[Amount_Paid]]</f>
        <v>41400</v>
      </c>
      <c r="I103">
        <v>0</v>
      </c>
      <c r="J103">
        <v>41400</v>
      </c>
      <c r="K103">
        <v>41400</v>
      </c>
      <c r="L103" t="s">
        <v>4793</v>
      </c>
      <c r="M103" t="s">
        <v>4994</v>
      </c>
    </row>
    <row r="104" spans="1:13" x14ac:dyDescent="0.3">
      <c r="A104" t="s">
        <v>4995</v>
      </c>
      <c r="B104" t="s">
        <v>288</v>
      </c>
      <c r="C104" t="s">
        <v>910</v>
      </c>
      <c r="D104" s="1">
        <v>46137</v>
      </c>
      <c r="E104" t="s">
        <v>12</v>
      </c>
      <c r="F104" t="s">
        <v>6181</v>
      </c>
      <c r="G10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04">
        <f>Payment_Dataset[[#This Row],[Total Amount]]-Payment_Dataset[[#This Row],[Amount_Paid]]</f>
        <v>5200</v>
      </c>
      <c r="I104">
        <v>0</v>
      </c>
      <c r="J104">
        <v>5200</v>
      </c>
      <c r="K104">
        <v>5200</v>
      </c>
      <c r="L104" t="s">
        <v>4790</v>
      </c>
      <c r="M104" t="s">
        <v>4996</v>
      </c>
    </row>
    <row r="105" spans="1:13" x14ac:dyDescent="0.3">
      <c r="A105" t="s">
        <v>4997</v>
      </c>
      <c r="B105" t="s">
        <v>290</v>
      </c>
      <c r="C105" t="s">
        <v>996</v>
      </c>
      <c r="D105" s="1">
        <v>46157</v>
      </c>
      <c r="E105" t="s">
        <v>12</v>
      </c>
      <c r="F105" t="s">
        <v>6181</v>
      </c>
      <c r="G10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05">
        <f>Payment_Dataset[[#This Row],[Total Amount]]-Payment_Dataset[[#This Row],[Amount_Paid]]</f>
        <v>38500</v>
      </c>
      <c r="I105">
        <v>0</v>
      </c>
      <c r="J105">
        <v>38500</v>
      </c>
      <c r="K105">
        <v>38500</v>
      </c>
      <c r="L105" t="s">
        <v>4799</v>
      </c>
      <c r="M105" t="s">
        <v>4998</v>
      </c>
    </row>
    <row r="106" spans="1:13" x14ac:dyDescent="0.3">
      <c r="A106" t="s">
        <v>4999</v>
      </c>
      <c r="B106" t="s">
        <v>292</v>
      </c>
      <c r="C106" t="s">
        <v>83</v>
      </c>
      <c r="D106" s="1">
        <v>46041</v>
      </c>
      <c r="E106" t="s">
        <v>12</v>
      </c>
      <c r="F106" t="s">
        <v>6181</v>
      </c>
      <c r="G10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06">
        <f>Payment_Dataset[[#This Row],[Total Amount]]-Payment_Dataset[[#This Row],[Amount_Paid]]</f>
        <v>35000</v>
      </c>
      <c r="I106">
        <v>0</v>
      </c>
      <c r="J106">
        <v>35000</v>
      </c>
      <c r="K106">
        <v>35000</v>
      </c>
      <c r="L106" t="s">
        <v>4787</v>
      </c>
      <c r="M106" t="s">
        <v>5000</v>
      </c>
    </row>
    <row r="107" spans="1:13" x14ac:dyDescent="0.3">
      <c r="A107" t="s">
        <v>5001</v>
      </c>
      <c r="B107" t="s">
        <v>295</v>
      </c>
      <c r="C107" t="s">
        <v>3964</v>
      </c>
      <c r="D107" s="1">
        <v>46087</v>
      </c>
      <c r="E107" t="s">
        <v>12</v>
      </c>
      <c r="F107" t="s">
        <v>6181</v>
      </c>
      <c r="G10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07">
        <f>Payment_Dataset[[#This Row],[Total Amount]]-Payment_Dataset[[#This Row],[Amount_Paid]]</f>
        <v>37800</v>
      </c>
      <c r="I107">
        <v>0</v>
      </c>
      <c r="J107">
        <v>37800</v>
      </c>
      <c r="K107">
        <v>37800</v>
      </c>
      <c r="L107" t="s">
        <v>4787</v>
      </c>
      <c r="M107" t="s">
        <v>5002</v>
      </c>
    </row>
    <row r="108" spans="1:13" x14ac:dyDescent="0.3">
      <c r="A108" t="s">
        <v>5003</v>
      </c>
      <c r="B108" t="s">
        <v>297</v>
      </c>
      <c r="C108" t="s">
        <v>2655</v>
      </c>
      <c r="D108" s="1">
        <v>46129</v>
      </c>
      <c r="E108" t="s">
        <v>12</v>
      </c>
      <c r="F108" t="s">
        <v>6181</v>
      </c>
      <c r="G10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08">
        <f>Payment_Dataset[[#This Row],[Total Amount]]-Payment_Dataset[[#This Row],[Amount_Paid]]</f>
        <v>14000</v>
      </c>
      <c r="I108">
        <v>0</v>
      </c>
      <c r="J108">
        <v>14000</v>
      </c>
      <c r="K108">
        <v>14000</v>
      </c>
      <c r="L108" t="s">
        <v>4787</v>
      </c>
      <c r="M108" t="s">
        <v>5004</v>
      </c>
    </row>
    <row r="109" spans="1:13" x14ac:dyDescent="0.3">
      <c r="A109" t="s">
        <v>5005</v>
      </c>
      <c r="B109" t="s">
        <v>299</v>
      </c>
      <c r="C109" t="s">
        <v>434</v>
      </c>
      <c r="D109" s="1">
        <v>46121</v>
      </c>
      <c r="E109" t="s">
        <v>12</v>
      </c>
      <c r="F109" t="s">
        <v>6181</v>
      </c>
      <c r="G10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09">
        <f>Payment_Dataset[[#This Row],[Total Amount]]-Payment_Dataset[[#This Row],[Amount_Paid]]</f>
        <v>46900</v>
      </c>
      <c r="I109">
        <v>0</v>
      </c>
      <c r="J109">
        <v>46900</v>
      </c>
      <c r="K109">
        <v>46900</v>
      </c>
      <c r="L109" t="s">
        <v>4787</v>
      </c>
      <c r="M109" t="s">
        <v>5006</v>
      </c>
    </row>
    <row r="110" spans="1:13" x14ac:dyDescent="0.3">
      <c r="A110" t="s">
        <v>5007</v>
      </c>
      <c r="B110" t="s">
        <v>301</v>
      </c>
      <c r="C110" t="s">
        <v>3669</v>
      </c>
      <c r="D110" s="1">
        <v>46148</v>
      </c>
      <c r="E110" t="s">
        <v>12</v>
      </c>
      <c r="F110" t="s">
        <v>6181</v>
      </c>
      <c r="G11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10">
        <f>Payment_Dataset[[#This Row],[Total Amount]]-Payment_Dataset[[#This Row],[Amount_Paid]]</f>
        <v>20700</v>
      </c>
      <c r="I110">
        <v>0</v>
      </c>
      <c r="J110">
        <v>20700</v>
      </c>
      <c r="K110">
        <v>20700</v>
      </c>
      <c r="L110" t="s">
        <v>4793</v>
      </c>
      <c r="M110" t="s">
        <v>5008</v>
      </c>
    </row>
    <row r="111" spans="1:13" x14ac:dyDescent="0.3">
      <c r="A111" t="s">
        <v>5009</v>
      </c>
      <c r="B111" t="s">
        <v>303</v>
      </c>
      <c r="C111" t="s">
        <v>507</v>
      </c>
      <c r="D111" s="1">
        <v>46182</v>
      </c>
      <c r="E111" t="s">
        <v>49</v>
      </c>
      <c r="F111" t="s">
        <v>6182</v>
      </c>
      <c r="G11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3639.9999999999995</v>
      </c>
      <c r="H111">
        <f>Payment_Dataset[[#This Row],[Total Amount]]-Payment_Dataset[[#This Row],[Amount_Paid]]</f>
        <v>6760</v>
      </c>
      <c r="I111">
        <v>3640</v>
      </c>
      <c r="J111">
        <v>6760</v>
      </c>
      <c r="K111">
        <v>10400</v>
      </c>
      <c r="L111" t="s">
        <v>4799</v>
      </c>
      <c r="M111" t="s">
        <v>5010</v>
      </c>
    </row>
    <row r="112" spans="1:13" x14ac:dyDescent="0.3">
      <c r="A112" t="s">
        <v>5011</v>
      </c>
      <c r="B112" t="s">
        <v>305</v>
      </c>
      <c r="C112" t="s">
        <v>2729</v>
      </c>
      <c r="D112" s="1">
        <v>46051</v>
      </c>
      <c r="E112" t="s">
        <v>38</v>
      </c>
      <c r="F112" t="s">
        <v>6180</v>
      </c>
      <c r="G11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45500</v>
      </c>
      <c r="H112">
        <f>Payment_Dataset[[#This Row],[Total Amount]]-Payment_Dataset[[#This Row],[Amount_Paid]]</f>
        <v>0</v>
      </c>
      <c r="I112">
        <v>45500</v>
      </c>
      <c r="J112">
        <v>0</v>
      </c>
      <c r="K112">
        <v>45500</v>
      </c>
      <c r="L112" t="s">
        <v>4793</v>
      </c>
      <c r="M112" t="s">
        <v>5012</v>
      </c>
    </row>
    <row r="113" spans="1:13" x14ac:dyDescent="0.3">
      <c r="A113" t="s">
        <v>5013</v>
      </c>
      <c r="B113" t="s">
        <v>307</v>
      </c>
      <c r="C113" t="s">
        <v>930</v>
      </c>
      <c r="D113" s="1">
        <v>46024</v>
      </c>
      <c r="E113" t="s">
        <v>38</v>
      </c>
      <c r="F113" t="s">
        <v>6180</v>
      </c>
      <c r="G11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25200</v>
      </c>
      <c r="H113">
        <f>Payment_Dataset[[#This Row],[Total Amount]]-Payment_Dataset[[#This Row],[Amount_Paid]]</f>
        <v>0</v>
      </c>
      <c r="I113">
        <v>25200</v>
      </c>
      <c r="J113">
        <v>0</v>
      </c>
      <c r="K113">
        <v>25200</v>
      </c>
      <c r="L113" t="s">
        <v>4793</v>
      </c>
      <c r="M113" t="s">
        <v>5014</v>
      </c>
    </row>
    <row r="114" spans="1:13" x14ac:dyDescent="0.3">
      <c r="A114" t="s">
        <v>5015</v>
      </c>
      <c r="B114" t="s">
        <v>309</v>
      </c>
      <c r="C114" t="s">
        <v>1625</v>
      </c>
      <c r="D114" s="1">
        <v>46185</v>
      </c>
      <c r="E114" t="s">
        <v>38</v>
      </c>
      <c r="F114" t="s">
        <v>6180</v>
      </c>
      <c r="G11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28000</v>
      </c>
      <c r="H114">
        <f>Payment_Dataset[[#This Row],[Total Amount]]-Payment_Dataset[[#This Row],[Amount_Paid]]</f>
        <v>0</v>
      </c>
      <c r="I114">
        <v>28000</v>
      </c>
      <c r="J114">
        <v>0</v>
      </c>
      <c r="K114">
        <v>28000</v>
      </c>
      <c r="L114" t="s">
        <v>4793</v>
      </c>
      <c r="M114" t="s">
        <v>5016</v>
      </c>
    </row>
    <row r="115" spans="1:13" x14ac:dyDescent="0.3">
      <c r="A115" t="s">
        <v>5017</v>
      </c>
      <c r="B115" t="s">
        <v>311</v>
      </c>
      <c r="C115" t="s">
        <v>4436</v>
      </c>
      <c r="D115" s="1">
        <v>46059</v>
      </c>
      <c r="E115" t="s">
        <v>12</v>
      </c>
      <c r="F115" t="s">
        <v>6181</v>
      </c>
      <c r="G11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15">
        <f>Payment_Dataset[[#This Row],[Total Amount]]-Payment_Dataset[[#This Row],[Amount_Paid]]</f>
        <v>7000</v>
      </c>
      <c r="I115">
        <v>0</v>
      </c>
      <c r="J115">
        <v>7000</v>
      </c>
      <c r="K115">
        <v>7000</v>
      </c>
      <c r="L115" t="s">
        <v>4796</v>
      </c>
      <c r="M115" t="s">
        <v>5018</v>
      </c>
    </row>
    <row r="116" spans="1:13" x14ac:dyDescent="0.3">
      <c r="A116" t="s">
        <v>5019</v>
      </c>
      <c r="B116" t="s">
        <v>313</v>
      </c>
      <c r="C116" t="s">
        <v>2691</v>
      </c>
      <c r="D116" s="1">
        <v>46057</v>
      </c>
      <c r="E116" t="s">
        <v>38</v>
      </c>
      <c r="F116" t="s">
        <v>6180</v>
      </c>
      <c r="G11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46200</v>
      </c>
      <c r="H116">
        <f>Payment_Dataset[[#This Row],[Total Amount]]-Payment_Dataset[[#This Row],[Amount_Paid]]</f>
        <v>0</v>
      </c>
      <c r="I116">
        <v>46200</v>
      </c>
      <c r="J116">
        <v>0</v>
      </c>
      <c r="K116">
        <v>46200</v>
      </c>
      <c r="L116" t="s">
        <v>4796</v>
      </c>
      <c r="M116" t="s">
        <v>5020</v>
      </c>
    </row>
    <row r="117" spans="1:13" x14ac:dyDescent="0.3">
      <c r="A117" t="s">
        <v>5021</v>
      </c>
      <c r="B117" t="s">
        <v>315</v>
      </c>
      <c r="C117" t="s">
        <v>4363</v>
      </c>
      <c r="D117" s="1">
        <v>46107</v>
      </c>
      <c r="E117" t="s">
        <v>12</v>
      </c>
      <c r="F117" t="s">
        <v>6181</v>
      </c>
      <c r="G11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17">
        <f>Payment_Dataset[[#This Row],[Total Amount]]-Payment_Dataset[[#This Row],[Amount_Paid]]</f>
        <v>4700</v>
      </c>
      <c r="I117">
        <v>0</v>
      </c>
      <c r="J117">
        <v>4700</v>
      </c>
      <c r="K117">
        <v>4700</v>
      </c>
      <c r="L117" t="s">
        <v>4787</v>
      </c>
      <c r="M117" t="s">
        <v>5022</v>
      </c>
    </row>
    <row r="118" spans="1:13" x14ac:dyDescent="0.3">
      <c r="A118" t="s">
        <v>5023</v>
      </c>
      <c r="B118" t="s">
        <v>318</v>
      </c>
      <c r="C118" t="s">
        <v>4059</v>
      </c>
      <c r="D118" s="1">
        <v>46103</v>
      </c>
      <c r="E118" t="s">
        <v>12</v>
      </c>
      <c r="F118" t="s">
        <v>6181</v>
      </c>
      <c r="G11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18">
        <f>Payment_Dataset[[#This Row],[Total Amount]]-Payment_Dataset[[#This Row],[Amount_Paid]]</f>
        <v>32500</v>
      </c>
      <c r="I118">
        <v>0</v>
      </c>
      <c r="J118">
        <v>32500</v>
      </c>
      <c r="K118">
        <v>32500</v>
      </c>
      <c r="L118" t="s">
        <v>4793</v>
      </c>
      <c r="M118" t="s">
        <v>5024</v>
      </c>
    </row>
    <row r="119" spans="1:13" x14ac:dyDescent="0.3">
      <c r="A119" t="s">
        <v>5025</v>
      </c>
      <c r="B119" t="s">
        <v>320</v>
      </c>
      <c r="C119" t="s">
        <v>1252</v>
      </c>
      <c r="D119" s="1">
        <v>46096</v>
      </c>
      <c r="E119" t="s">
        <v>38</v>
      </c>
      <c r="F119" t="s">
        <v>6180</v>
      </c>
      <c r="G11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11000</v>
      </c>
      <c r="H119">
        <f>Payment_Dataset[[#This Row],[Total Amount]]-Payment_Dataset[[#This Row],[Amount_Paid]]</f>
        <v>0</v>
      </c>
      <c r="I119">
        <v>11000</v>
      </c>
      <c r="J119">
        <v>0</v>
      </c>
      <c r="K119">
        <v>11000</v>
      </c>
      <c r="L119" t="s">
        <v>4799</v>
      </c>
      <c r="M119" t="s">
        <v>5026</v>
      </c>
    </row>
    <row r="120" spans="1:13" x14ac:dyDescent="0.3">
      <c r="A120" t="s">
        <v>5027</v>
      </c>
      <c r="B120" t="s">
        <v>322</v>
      </c>
      <c r="C120" t="s">
        <v>3520</v>
      </c>
      <c r="D120" s="1">
        <v>46041</v>
      </c>
      <c r="E120" t="s">
        <v>12</v>
      </c>
      <c r="F120" t="s">
        <v>6181</v>
      </c>
      <c r="G12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20">
        <f>Payment_Dataset[[#This Row],[Total Amount]]-Payment_Dataset[[#This Row],[Amount_Paid]]</f>
        <v>10500</v>
      </c>
      <c r="I120">
        <v>0</v>
      </c>
      <c r="J120">
        <v>10500</v>
      </c>
      <c r="K120">
        <v>10500</v>
      </c>
      <c r="L120" t="s">
        <v>4796</v>
      </c>
      <c r="M120" t="s">
        <v>5028</v>
      </c>
    </row>
    <row r="121" spans="1:13" x14ac:dyDescent="0.3">
      <c r="A121" t="s">
        <v>5029</v>
      </c>
      <c r="B121" t="s">
        <v>324</v>
      </c>
      <c r="C121" t="s">
        <v>265</v>
      </c>
      <c r="D121" s="1">
        <v>46133</v>
      </c>
      <c r="E121" t="s">
        <v>12</v>
      </c>
      <c r="F121" t="s">
        <v>6181</v>
      </c>
      <c r="G12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21">
        <f>Payment_Dataset[[#This Row],[Total Amount]]-Payment_Dataset[[#This Row],[Amount_Paid]]</f>
        <v>9600</v>
      </c>
      <c r="I121">
        <v>0</v>
      </c>
      <c r="J121">
        <v>9600</v>
      </c>
      <c r="K121">
        <v>9600</v>
      </c>
      <c r="L121" t="s">
        <v>4796</v>
      </c>
      <c r="M121" t="s">
        <v>5030</v>
      </c>
    </row>
    <row r="122" spans="1:13" x14ac:dyDescent="0.3">
      <c r="A122" t="s">
        <v>5031</v>
      </c>
      <c r="B122" t="s">
        <v>327</v>
      </c>
      <c r="C122" t="s">
        <v>1922</v>
      </c>
      <c r="D122" s="1">
        <v>46125</v>
      </c>
      <c r="E122" t="s">
        <v>38</v>
      </c>
      <c r="F122" t="s">
        <v>6180</v>
      </c>
      <c r="G12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11000</v>
      </c>
      <c r="H122">
        <f>Payment_Dataset[[#This Row],[Total Amount]]-Payment_Dataset[[#This Row],[Amount_Paid]]</f>
        <v>0</v>
      </c>
      <c r="I122">
        <v>11000</v>
      </c>
      <c r="J122">
        <v>0</v>
      </c>
      <c r="K122">
        <v>11000</v>
      </c>
      <c r="L122" t="s">
        <v>4793</v>
      </c>
      <c r="M122" t="s">
        <v>5032</v>
      </c>
    </row>
    <row r="123" spans="1:13" x14ac:dyDescent="0.3">
      <c r="A123" t="s">
        <v>5033</v>
      </c>
      <c r="B123" t="s">
        <v>329</v>
      </c>
      <c r="C123" t="s">
        <v>1493</v>
      </c>
      <c r="D123" s="1">
        <v>46088</v>
      </c>
      <c r="E123" t="s">
        <v>38</v>
      </c>
      <c r="F123" t="s">
        <v>6180</v>
      </c>
      <c r="G12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21000</v>
      </c>
      <c r="H123">
        <f>Payment_Dataset[[#This Row],[Total Amount]]-Payment_Dataset[[#This Row],[Amount_Paid]]</f>
        <v>0</v>
      </c>
      <c r="I123">
        <v>21000</v>
      </c>
      <c r="J123">
        <v>0</v>
      </c>
      <c r="K123">
        <v>21000</v>
      </c>
      <c r="L123" t="s">
        <v>4790</v>
      </c>
      <c r="M123" t="s">
        <v>5034</v>
      </c>
    </row>
    <row r="124" spans="1:13" x14ac:dyDescent="0.3">
      <c r="A124" t="s">
        <v>5035</v>
      </c>
      <c r="B124" t="s">
        <v>331</v>
      </c>
      <c r="C124" t="s">
        <v>1729</v>
      </c>
      <c r="D124" s="1">
        <v>46176</v>
      </c>
      <c r="E124" t="s">
        <v>12</v>
      </c>
      <c r="F124" t="s">
        <v>6181</v>
      </c>
      <c r="G12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24">
        <f>Payment_Dataset[[#This Row],[Total Amount]]-Payment_Dataset[[#This Row],[Amount_Paid]]</f>
        <v>10000</v>
      </c>
      <c r="I124">
        <v>0</v>
      </c>
      <c r="J124">
        <v>10000</v>
      </c>
      <c r="K124">
        <v>10000</v>
      </c>
      <c r="L124" t="s">
        <v>4790</v>
      </c>
      <c r="M124" t="s">
        <v>5036</v>
      </c>
    </row>
    <row r="125" spans="1:13" x14ac:dyDescent="0.3">
      <c r="A125" t="s">
        <v>5037</v>
      </c>
      <c r="B125" t="s">
        <v>333</v>
      </c>
      <c r="C125" t="s">
        <v>334</v>
      </c>
      <c r="D125" s="1">
        <v>46126</v>
      </c>
      <c r="E125" t="s">
        <v>12</v>
      </c>
      <c r="F125" t="s">
        <v>6181</v>
      </c>
      <c r="G12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25">
        <f>Payment_Dataset[[#This Row],[Total Amount]]-Payment_Dataset[[#This Row],[Amount_Paid]]</f>
        <v>54600</v>
      </c>
      <c r="I125">
        <v>0</v>
      </c>
      <c r="J125">
        <v>54600</v>
      </c>
      <c r="K125">
        <v>54600</v>
      </c>
      <c r="L125" t="s">
        <v>4796</v>
      </c>
      <c r="M125" t="s">
        <v>5038</v>
      </c>
    </row>
    <row r="126" spans="1:13" x14ac:dyDescent="0.3">
      <c r="A126" t="s">
        <v>5039</v>
      </c>
      <c r="B126" t="s">
        <v>336</v>
      </c>
      <c r="C126" t="s">
        <v>3520</v>
      </c>
      <c r="D126" s="1">
        <v>46178</v>
      </c>
      <c r="E126" t="s">
        <v>12</v>
      </c>
      <c r="F126" t="s">
        <v>6181</v>
      </c>
      <c r="G12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26">
        <f>Payment_Dataset[[#This Row],[Total Amount]]-Payment_Dataset[[#This Row],[Amount_Paid]]</f>
        <v>21000</v>
      </c>
      <c r="I126">
        <v>0</v>
      </c>
      <c r="J126">
        <v>21000</v>
      </c>
      <c r="K126">
        <v>21000</v>
      </c>
      <c r="L126" t="s">
        <v>4799</v>
      </c>
      <c r="M126" t="s">
        <v>5040</v>
      </c>
    </row>
    <row r="127" spans="1:13" x14ac:dyDescent="0.3">
      <c r="A127" t="s">
        <v>5041</v>
      </c>
      <c r="B127" t="s">
        <v>339</v>
      </c>
      <c r="C127" t="s">
        <v>496</v>
      </c>
      <c r="D127" s="1">
        <v>46200</v>
      </c>
      <c r="E127" t="s">
        <v>38</v>
      </c>
      <c r="F127" t="s">
        <v>6180</v>
      </c>
      <c r="G12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28000</v>
      </c>
      <c r="H127">
        <f>Payment_Dataset[[#This Row],[Total Amount]]-Payment_Dataset[[#This Row],[Amount_Paid]]</f>
        <v>0</v>
      </c>
      <c r="I127">
        <v>28000</v>
      </c>
      <c r="J127">
        <v>0</v>
      </c>
      <c r="K127">
        <v>28000</v>
      </c>
      <c r="L127" t="s">
        <v>4793</v>
      </c>
      <c r="M127" t="s">
        <v>5042</v>
      </c>
    </row>
    <row r="128" spans="1:13" x14ac:dyDescent="0.3">
      <c r="A128" t="s">
        <v>5043</v>
      </c>
      <c r="B128" t="s">
        <v>341</v>
      </c>
      <c r="C128" t="s">
        <v>2185</v>
      </c>
      <c r="D128" s="1">
        <v>46081</v>
      </c>
      <c r="E128" t="s">
        <v>12</v>
      </c>
      <c r="F128" t="s">
        <v>6181</v>
      </c>
      <c r="G12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28">
        <f>Payment_Dataset[[#This Row],[Total Amount]]-Payment_Dataset[[#This Row],[Amount_Paid]]</f>
        <v>32900</v>
      </c>
      <c r="I128">
        <v>0</v>
      </c>
      <c r="J128">
        <v>32900</v>
      </c>
      <c r="K128">
        <v>32900</v>
      </c>
      <c r="L128" t="s">
        <v>4787</v>
      </c>
      <c r="M128" t="s">
        <v>5044</v>
      </c>
    </row>
    <row r="129" spans="1:13" x14ac:dyDescent="0.3">
      <c r="A129" t="s">
        <v>5045</v>
      </c>
      <c r="B129" t="s">
        <v>344</v>
      </c>
      <c r="C129" t="s">
        <v>887</v>
      </c>
      <c r="D129" s="1">
        <v>46182</v>
      </c>
      <c r="E129" t="s">
        <v>12</v>
      </c>
      <c r="F129" t="s">
        <v>6181</v>
      </c>
      <c r="G12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29">
        <f>Payment_Dataset[[#This Row],[Total Amount]]-Payment_Dataset[[#This Row],[Amount_Paid]]</f>
        <v>6400</v>
      </c>
      <c r="I129">
        <v>0</v>
      </c>
      <c r="J129">
        <v>6400</v>
      </c>
      <c r="K129">
        <v>6400</v>
      </c>
      <c r="L129" t="s">
        <v>4790</v>
      </c>
      <c r="M129" t="s">
        <v>5046</v>
      </c>
    </row>
    <row r="130" spans="1:13" x14ac:dyDescent="0.3">
      <c r="A130" t="s">
        <v>5047</v>
      </c>
      <c r="B130" t="s">
        <v>346</v>
      </c>
      <c r="C130" t="s">
        <v>658</v>
      </c>
      <c r="D130" s="1">
        <v>46130</v>
      </c>
      <c r="E130" t="s">
        <v>12</v>
      </c>
      <c r="F130" t="s">
        <v>6181</v>
      </c>
      <c r="G13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30">
        <f>Payment_Dataset[[#This Row],[Total Amount]]-Payment_Dataset[[#This Row],[Amount_Paid]]</f>
        <v>36000</v>
      </c>
      <c r="I130">
        <v>0</v>
      </c>
      <c r="J130">
        <v>36000</v>
      </c>
      <c r="K130">
        <v>36000</v>
      </c>
      <c r="L130" t="s">
        <v>4799</v>
      </c>
      <c r="M130" t="s">
        <v>5048</v>
      </c>
    </row>
    <row r="131" spans="1:13" x14ac:dyDescent="0.3">
      <c r="A131" t="s">
        <v>5049</v>
      </c>
      <c r="B131" t="s">
        <v>348</v>
      </c>
      <c r="C131" t="s">
        <v>833</v>
      </c>
      <c r="D131" s="1">
        <v>46124</v>
      </c>
      <c r="E131" t="s">
        <v>38</v>
      </c>
      <c r="F131" t="s">
        <v>6180</v>
      </c>
      <c r="G13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32400</v>
      </c>
      <c r="H131">
        <f>Payment_Dataset[[#This Row],[Total Amount]]-Payment_Dataset[[#This Row],[Amount_Paid]]</f>
        <v>0</v>
      </c>
      <c r="I131">
        <v>32400</v>
      </c>
      <c r="J131">
        <v>0</v>
      </c>
      <c r="K131">
        <v>32400</v>
      </c>
      <c r="L131" t="s">
        <v>4787</v>
      </c>
      <c r="M131" t="s">
        <v>5050</v>
      </c>
    </row>
    <row r="132" spans="1:13" x14ac:dyDescent="0.3">
      <c r="A132" t="s">
        <v>5051</v>
      </c>
      <c r="B132" t="s">
        <v>350</v>
      </c>
      <c r="C132" t="s">
        <v>1150</v>
      </c>
      <c r="D132" s="1">
        <v>46064</v>
      </c>
      <c r="E132" t="s">
        <v>12</v>
      </c>
      <c r="F132" t="s">
        <v>6181</v>
      </c>
      <c r="G13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32">
        <f>Payment_Dataset[[#This Row],[Total Amount]]-Payment_Dataset[[#This Row],[Amount_Paid]]</f>
        <v>23400</v>
      </c>
      <c r="I132">
        <v>0</v>
      </c>
      <c r="J132">
        <v>23400</v>
      </c>
      <c r="K132">
        <v>23400</v>
      </c>
      <c r="L132" t="s">
        <v>4799</v>
      </c>
      <c r="M132" t="s">
        <v>5052</v>
      </c>
    </row>
    <row r="133" spans="1:13" x14ac:dyDescent="0.3">
      <c r="A133" t="s">
        <v>5053</v>
      </c>
      <c r="B133" t="s">
        <v>352</v>
      </c>
      <c r="C133" t="s">
        <v>2482</v>
      </c>
      <c r="D133" s="1">
        <v>46046</v>
      </c>
      <c r="E133" t="s">
        <v>12</v>
      </c>
      <c r="F133" t="s">
        <v>6181</v>
      </c>
      <c r="G13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33">
        <f>Payment_Dataset[[#This Row],[Total Amount]]-Payment_Dataset[[#This Row],[Amount_Paid]]</f>
        <v>21000</v>
      </c>
      <c r="I133">
        <v>0</v>
      </c>
      <c r="J133">
        <v>21000</v>
      </c>
      <c r="K133">
        <v>21000</v>
      </c>
      <c r="L133" t="s">
        <v>4796</v>
      </c>
      <c r="M133" t="s">
        <v>5054</v>
      </c>
    </row>
    <row r="134" spans="1:13" x14ac:dyDescent="0.3">
      <c r="A134" t="s">
        <v>5055</v>
      </c>
      <c r="B134" t="s">
        <v>354</v>
      </c>
      <c r="C134" t="s">
        <v>83</v>
      </c>
      <c r="D134" s="1">
        <v>46054</v>
      </c>
      <c r="E134" t="s">
        <v>12</v>
      </c>
      <c r="F134" t="s">
        <v>6181</v>
      </c>
      <c r="G13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34">
        <f>Payment_Dataset[[#This Row],[Total Amount]]-Payment_Dataset[[#This Row],[Amount_Paid]]</f>
        <v>53900</v>
      </c>
      <c r="I134">
        <v>0</v>
      </c>
      <c r="J134">
        <v>53900</v>
      </c>
      <c r="K134">
        <v>53900</v>
      </c>
      <c r="L134" t="s">
        <v>4799</v>
      </c>
      <c r="M134" t="s">
        <v>5056</v>
      </c>
    </row>
    <row r="135" spans="1:13" x14ac:dyDescent="0.3">
      <c r="A135" t="s">
        <v>5057</v>
      </c>
      <c r="B135" t="s">
        <v>356</v>
      </c>
      <c r="C135" t="s">
        <v>4292</v>
      </c>
      <c r="D135" s="1">
        <v>46181</v>
      </c>
      <c r="E135" t="s">
        <v>49</v>
      </c>
      <c r="F135" t="s">
        <v>6182</v>
      </c>
      <c r="G13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2100</v>
      </c>
      <c r="H135">
        <f>Payment_Dataset[[#This Row],[Total Amount]]-Payment_Dataset[[#This Row],[Amount_Paid]]</f>
        <v>3900</v>
      </c>
      <c r="I135">
        <v>2100</v>
      </c>
      <c r="J135">
        <v>3900</v>
      </c>
      <c r="K135">
        <v>6000</v>
      </c>
      <c r="L135" t="s">
        <v>4790</v>
      </c>
      <c r="M135" t="s">
        <v>5058</v>
      </c>
    </row>
    <row r="136" spans="1:13" x14ac:dyDescent="0.3">
      <c r="A136" t="s">
        <v>5059</v>
      </c>
      <c r="B136" t="s">
        <v>358</v>
      </c>
      <c r="C136" t="s">
        <v>4385</v>
      </c>
      <c r="D136" s="1">
        <v>46200</v>
      </c>
      <c r="E136" t="s">
        <v>38</v>
      </c>
      <c r="F136" t="s">
        <v>6180</v>
      </c>
      <c r="G13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6200</v>
      </c>
      <c r="H136">
        <f>Payment_Dataset[[#This Row],[Total Amount]]-Payment_Dataset[[#This Row],[Amount_Paid]]</f>
        <v>0</v>
      </c>
      <c r="I136">
        <v>6200</v>
      </c>
      <c r="J136">
        <v>0</v>
      </c>
      <c r="K136">
        <v>6200</v>
      </c>
      <c r="L136" t="s">
        <v>4787</v>
      </c>
      <c r="M136" t="s">
        <v>5060</v>
      </c>
    </row>
    <row r="137" spans="1:13" x14ac:dyDescent="0.3">
      <c r="A137" t="s">
        <v>5061</v>
      </c>
      <c r="B137" t="s">
        <v>360</v>
      </c>
      <c r="C137" t="s">
        <v>2064</v>
      </c>
      <c r="D137" s="1">
        <v>46200</v>
      </c>
      <c r="E137" t="s">
        <v>12</v>
      </c>
      <c r="F137" t="s">
        <v>6181</v>
      </c>
      <c r="G13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37">
        <f>Payment_Dataset[[#This Row],[Total Amount]]-Payment_Dataset[[#This Row],[Amount_Paid]]</f>
        <v>31000</v>
      </c>
      <c r="I137">
        <v>0</v>
      </c>
      <c r="J137">
        <v>31000</v>
      </c>
      <c r="K137">
        <v>31000</v>
      </c>
      <c r="L137" t="s">
        <v>4787</v>
      </c>
      <c r="M137" t="s">
        <v>5062</v>
      </c>
    </row>
    <row r="138" spans="1:13" x14ac:dyDescent="0.3">
      <c r="A138" t="s">
        <v>5063</v>
      </c>
      <c r="B138" t="s">
        <v>362</v>
      </c>
      <c r="C138" t="s">
        <v>503</v>
      </c>
      <c r="D138" s="1">
        <v>46149</v>
      </c>
      <c r="E138" t="s">
        <v>12</v>
      </c>
      <c r="F138" t="s">
        <v>6181</v>
      </c>
      <c r="G13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38">
        <f>Payment_Dataset[[#This Row],[Total Amount]]-Payment_Dataset[[#This Row],[Amount_Paid]]</f>
        <v>4700</v>
      </c>
      <c r="I138">
        <v>0</v>
      </c>
      <c r="J138">
        <v>4700</v>
      </c>
      <c r="K138">
        <v>4700</v>
      </c>
      <c r="L138" t="s">
        <v>4796</v>
      </c>
      <c r="M138" t="s">
        <v>5064</v>
      </c>
    </row>
    <row r="139" spans="1:13" x14ac:dyDescent="0.3">
      <c r="A139" t="s">
        <v>5065</v>
      </c>
      <c r="B139" t="s">
        <v>364</v>
      </c>
      <c r="C139" t="s">
        <v>745</v>
      </c>
      <c r="D139" s="1">
        <v>46169</v>
      </c>
      <c r="E139" t="s">
        <v>38</v>
      </c>
      <c r="F139" t="s">
        <v>6180</v>
      </c>
      <c r="G13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43400</v>
      </c>
      <c r="H139">
        <f>Payment_Dataset[[#This Row],[Total Amount]]-Payment_Dataset[[#This Row],[Amount_Paid]]</f>
        <v>0</v>
      </c>
      <c r="I139">
        <v>43400</v>
      </c>
      <c r="J139">
        <v>0</v>
      </c>
      <c r="K139">
        <v>43400</v>
      </c>
      <c r="L139" t="s">
        <v>4790</v>
      </c>
      <c r="M139" t="s">
        <v>5066</v>
      </c>
    </row>
    <row r="140" spans="1:13" x14ac:dyDescent="0.3">
      <c r="A140" t="s">
        <v>5067</v>
      </c>
      <c r="B140" t="s">
        <v>367</v>
      </c>
      <c r="C140" t="s">
        <v>4013</v>
      </c>
      <c r="D140" s="1">
        <v>46164</v>
      </c>
      <c r="E140" t="s">
        <v>49</v>
      </c>
      <c r="F140" t="s">
        <v>6182</v>
      </c>
      <c r="G14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2345</v>
      </c>
      <c r="H140">
        <f>Payment_Dataset[[#This Row],[Total Amount]]-Payment_Dataset[[#This Row],[Amount_Paid]]</f>
        <v>4355</v>
      </c>
      <c r="I140">
        <v>2345</v>
      </c>
      <c r="J140">
        <v>4355</v>
      </c>
      <c r="K140">
        <v>6700</v>
      </c>
      <c r="L140" t="s">
        <v>4796</v>
      </c>
      <c r="M140" t="s">
        <v>5068</v>
      </c>
    </row>
    <row r="141" spans="1:13" x14ac:dyDescent="0.3">
      <c r="A141" t="s">
        <v>5069</v>
      </c>
      <c r="B141" t="s">
        <v>369</v>
      </c>
      <c r="C141" t="s">
        <v>4201</v>
      </c>
      <c r="D141" s="1">
        <v>46198</v>
      </c>
      <c r="E141" t="s">
        <v>38</v>
      </c>
      <c r="F141" t="s">
        <v>6180</v>
      </c>
      <c r="G14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43200</v>
      </c>
      <c r="H141">
        <f>Payment_Dataset[[#This Row],[Total Amount]]-Payment_Dataset[[#This Row],[Amount_Paid]]</f>
        <v>0</v>
      </c>
      <c r="I141">
        <v>43200</v>
      </c>
      <c r="J141">
        <v>0</v>
      </c>
      <c r="K141">
        <v>43200</v>
      </c>
      <c r="L141" t="s">
        <v>4799</v>
      </c>
      <c r="M141" t="s">
        <v>5070</v>
      </c>
    </row>
    <row r="142" spans="1:13" x14ac:dyDescent="0.3">
      <c r="A142" t="s">
        <v>5071</v>
      </c>
      <c r="B142" t="s">
        <v>371</v>
      </c>
      <c r="C142" t="s">
        <v>688</v>
      </c>
      <c r="D142" s="1">
        <v>46184</v>
      </c>
      <c r="E142" t="s">
        <v>12</v>
      </c>
      <c r="F142" t="s">
        <v>6181</v>
      </c>
      <c r="G14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42">
        <f>Payment_Dataset[[#This Row],[Total Amount]]-Payment_Dataset[[#This Row],[Amount_Paid]]</f>
        <v>13800</v>
      </c>
      <c r="I142">
        <v>0</v>
      </c>
      <c r="J142">
        <v>13800</v>
      </c>
      <c r="K142">
        <v>13800</v>
      </c>
      <c r="L142" t="s">
        <v>4799</v>
      </c>
      <c r="M142" t="s">
        <v>5072</v>
      </c>
    </row>
    <row r="143" spans="1:13" x14ac:dyDescent="0.3">
      <c r="A143" t="s">
        <v>5073</v>
      </c>
      <c r="B143" t="s">
        <v>373</v>
      </c>
      <c r="C143" t="s">
        <v>2387</v>
      </c>
      <c r="D143" s="1">
        <v>46175</v>
      </c>
      <c r="E143" t="s">
        <v>49</v>
      </c>
      <c r="F143" t="s">
        <v>6182</v>
      </c>
      <c r="G14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14699.999999999998</v>
      </c>
      <c r="H143">
        <f>Payment_Dataset[[#This Row],[Total Amount]]-Payment_Dataset[[#This Row],[Amount_Paid]]</f>
        <v>27300</v>
      </c>
      <c r="I143">
        <v>14700</v>
      </c>
      <c r="J143">
        <v>27300</v>
      </c>
      <c r="K143">
        <v>42000</v>
      </c>
      <c r="L143" t="s">
        <v>4796</v>
      </c>
      <c r="M143" t="s">
        <v>5074</v>
      </c>
    </row>
    <row r="144" spans="1:13" x14ac:dyDescent="0.3">
      <c r="A144" t="s">
        <v>5075</v>
      </c>
      <c r="B144" t="s">
        <v>375</v>
      </c>
      <c r="C144" t="s">
        <v>4013</v>
      </c>
      <c r="D144" s="1">
        <v>46187</v>
      </c>
      <c r="E144" t="s">
        <v>38</v>
      </c>
      <c r="F144" t="s">
        <v>6180</v>
      </c>
      <c r="G14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15600</v>
      </c>
      <c r="H144">
        <f>Payment_Dataset[[#This Row],[Total Amount]]-Payment_Dataset[[#This Row],[Amount_Paid]]</f>
        <v>0</v>
      </c>
      <c r="I144">
        <v>15600</v>
      </c>
      <c r="J144">
        <v>0</v>
      </c>
      <c r="K144">
        <v>15600</v>
      </c>
      <c r="L144" t="s">
        <v>4796</v>
      </c>
      <c r="M144" t="s">
        <v>5076</v>
      </c>
    </row>
    <row r="145" spans="1:13" x14ac:dyDescent="0.3">
      <c r="A145" t="s">
        <v>5077</v>
      </c>
      <c r="B145" t="s">
        <v>377</v>
      </c>
      <c r="C145" t="s">
        <v>3350</v>
      </c>
      <c r="D145" s="1">
        <v>46061</v>
      </c>
      <c r="E145" t="s">
        <v>76</v>
      </c>
      <c r="F145" t="s">
        <v>6183</v>
      </c>
      <c r="G14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45">
        <f>Payment_Dataset[[#This Row],[Total Amount]]-Payment_Dataset[[#This Row],[Amount_Paid]]</f>
        <v>0</v>
      </c>
      <c r="I145">
        <v>0</v>
      </c>
      <c r="J145">
        <v>0</v>
      </c>
      <c r="K145">
        <v>0</v>
      </c>
      <c r="L145" t="s">
        <v>6178</v>
      </c>
      <c r="M145" t="s">
        <v>5078</v>
      </c>
    </row>
    <row r="146" spans="1:13" x14ac:dyDescent="0.3">
      <c r="A146" t="s">
        <v>5079</v>
      </c>
      <c r="B146" t="s">
        <v>379</v>
      </c>
      <c r="C146" t="s">
        <v>3233</v>
      </c>
      <c r="D146" s="1">
        <v>46092</v>
      </c>
      <c r="E146" t="s">
        <v>12</v>
      </c>
      <c r="F146" t="s">
        <v>6181</v>
      </c>
      <c r="G14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46">
        <f>Payment_Dataset[[#This Row],[Total Amount]]-Payment_Dataset[[#This Row],[Amount_Paid]]</f>
        <v>20000</v>
      </c>
      <c r="I146">
        <v>0</v>
      </c>
      <c r="J146">
        <v>20000</v>
      </c>
      <c r="K146">
        <v>20000</v>
      </c>
      <c r="L146" t="s">
        <v>4796</v>
      </c>
      <c r="M146" t="s">
        <v>5080</v>
      </c>
    </row>
    <row r="147" spans="1:13" x14ac:dyDescent="0.3">
      <c r="A147" t="s">
        <v>5081</v>
      </c>
      <c r="B147" t="s">
        <v>381</v>
      </c>
      <c r="C147" t="s">
        <v>3108</v>
      </c>
      <c r="D147" s="1">
        <v>46136</v>
      </c>
      <c r="E147" t="s">
        <v>12</v>
      </c>
      <c r="F147" t="s">
        <v>6181</v>
      </c>
      <c r="G14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47">
        <f>Payment_Dataset[[#This Row],[Total Amount]]-Payment_Dataset[[#This Row],[Amount_Paid]]</f>
        <v>12400</v>
      </c>
      <c r="I147">
        <v>0</v>
      </c>
      <c r="J147">
        <v>12400</v>
      </c>
      <c r="K147">
        <v>12400</v>
      </c>
      <c r="L147" t="s">
        <v>4790</v>
      </c>
      <c r="M147" t="s">
        <v>5082</v>
      </c>
    </row>
    <row r="148" spans="1:13" x14ac:dyDescent="0.3">
      <c r="A148" t="s">
        <v>5083</v>
      </c>
      <c r="B148" t="s">
        <v>383</v>
      </c>
      <c r="C148" t="s">
        <v>938</v>
      </c>
      <c r="D148" s="1">
        <v>46199</v>
      </c>
      <c r="E148" t="s">
        <v>38</v>
      </c>
      <c r="F148" t="s">
        <v>6180</v>
      </c>
      <c r="G14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3500</v>
      </c>
      <c r="H148">
        <f>Payment_Dataset[[#This Row],[Total Amount]]-Payment_Dataset[[#This Row],[Amount_Paid]]</f>
        <v>0</v>
      </c>
      <c r="I148">
        <v>3500</v>
      </c>
      <c r="J148">
        <v>0</v>
      </c>
      <c r="K148">
        <v>3500</v>
      </c>
      <c r="L148" t="s">
        <v>4799</v>
      </c>
      <c r="M148" t="s">
        <v>5084</v>
      </c>
    </row>
    <row r="149" spans="1:13" x14ac:dyDescent="0.3">
      <c r="A149" t="s">
        <v>5085</v>
      </c>
      <c r="B149" t="s">
        <v>385</v>
      </c>
      <c r="C149" t="s">
        <v>974</v>
      </c>
      <c r="D149" s="1">
        <v>46072</v>
      </c>
      <c r="E149" t="s">
        <v>49</v>
      </c>
      <c r="F149" t="s">
        <v>6182</v>
      </c>
      <c r="G14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15119.999999999998</v>
      </c>
      <c r="H149">
        <f>Payment_Dataset[[#This Row],[Total Amount]]-Payment_Dataset[[#This Row],[Amount_Paid]]</f>
        <v>28080</v>
      </c>
      <c r="I149">
        <v>15120</v>
      </c>
      <c r="J149">
        <v>28080</v>
      </c>
      <c r="K149">
        <v>43200</v>
      </c>
      <c r="L149" t="s">
        <v>4790</v>
      </c>
      <c r="M149" t="s">
        <v>5086</v>
      </c>
    </row>
    <row r="150" spans="1:13" x14ac:dyDescent="0.3">
      <c r="A150" t="s">
        <v>5087</v>
      </c>
      <c r="B150" t="s">
        <v>387</v>
      </c>
      <c r="C150" t="s">
        <v>3680</v>
      </c>
      <c r="D150" s="1">
        <v>46185</v>
      </c>
      <c r="E150" t="s">
        <v>12</v>
      </c>
      <c r="F150" t="s">
        <v>6181</v>
      </c>
      <c r="G15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50">
        <f>Payment_Dataset[[#This Row],[Total Amount]]-Payment_Dataset[[#This Row],[Amount_Paid]]</f>
        <v>14000</v>
      </c>
      <c r="I150">
        <v>0</v>
      </c>
      <c r="J150">
        <v>14000</v>
      </c>
      <c r="K150">
        <v>14000</v>
      </c>
      <c r="L150" t="s">
        <v>4796</v>
      </c>
      <c r="M150" t="s">
        <v>5088</v>
      </c>
    </row>
    <row r="151" spans="1:13" x14ac:dyDescent="0.3">
      <c r="A151" t="s">
        <v>5089</v>
      </c>
      <c r="B151" t="s">
        <v>390</v>
      </c>
      <c r="C151" t="s">
        <v>2961</v>
      </c>
      <c r="D151" s="1">
        <v>46064</v>
      </c>
      <c r="E151" t="s">
        <v>49</v>
      </c>
      <c r="F151" t="s">
        <v>6182</v>
      </c>
      <c r="G15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1470</v>
      </c>
      <c r="H151">
        <f>Payment_Dataset[[#This Row],[Total Amount]]-Payment_Dataset[[#This Row],[Amount_Paid]]</f>
        <v>2730</v>
      </c>
      <c r="I151">
        <v>1470</v>
      </c>
      <c r="J151">
        <v>2730</v>
      </c>
      <c r="K151">
        <v>4200</v>
      </c>
      <c r="L151" t="s">
        <v>4799</v>
      </c>
      <c r="M151" t="s">
        <v>5090</v>
      </c>
    </row>
    <row r="152" spans="1:13" x14ac:dyDescent="0.3">
      <c r="A152" t="s">
        <v>5091</v>
      </c>
      <c r="B152" t="s">
        <v>392</v>
      </c>
      <c r="C152" t="s">
        <v>4128</v>
      </c>
      <c r="D152" s="1">
        <v>46133</v>
      </c>
      <c r="E152" t="s">
        <v>12</v>
      </c>
      <c r="F152" t="s">
        <v>6181</v>
      </c>
      <c r="G15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52">
        <f>Payment_Dataset[[#This Row],[Total Amount]]-Payment_Dataset[[#This Row],[Amount_Paid]]</f>
        <v>9600</v>
      </c>
      <c r="I152">
        <v>0</v>
      </c>
      <c r="J152">
        <v>9600</v>
      </c>
      <c r="K152">
        <v>9600</v>
      </c>
      <c r="L152" t="s">
        <v>4790</v>
      </c>
      <c r="M152" t="s">
        <v>5092</v>
      </c>
    </row>
    <row r="153" spans="1:13" x14ac:dyDescent="0.3">
      <c r="A153" t="s">
        <v>5093</v>
      </c>
      <c r="B153" t="s">
        <v>394</v>
      </c>
      <c r="C153" t="s">
        <v>1611</v>
      </c>
      <c r="D153" s="1">
        <v>46054</v>
      </c>
      <c r="E153" t="s">
        <v>12</v>
      </c>
      <c r="F153" t="s">
        <v>6181</v>
      </c>
      <c r="G15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53">
        <f>Payment_Dataset[[#This Row],[Total Amount]]-Payment_Dataset[[#This Row],[Amount_Paid]]</f>
        <v>43400</v>
      </c>
      <c r="I153">
        <v>0</v>
      </c>
      <c r="J153">
        <v>43400</v>
      </c>
      <c r="K153">
        <v>43400</v>
      </c>
      <c r="L153" t="s">
        <v>4799</v>
      </c>
      <c r="M153" t="s">
        <v>5094</v>
      </c>
    </row>
    <row r="154" spans="1:13" x14ac:dyDescent="0.3">
      <c r="A154" t="s">
        <v>5095</v>
      </c>
      <c r="B154" t="s">
        <v>396</v>
      </c>
      <c r="C154" t="s">
        <v>3698</v>
      </c>
      <c r="D154" s="1">
        <v>46201</v>
      </c>
      <c r="E154" t="s">
        <v>12</v>
      </c>
      <c r="F154" t="s">
        <v>6181</v>
      </c>
      <c r="G15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54">
        <f>Payment_Dataset[[#This Row],[Total Amount]]-Payment_Dataset[[#This Row],[Amount_Paid]]</f>
        <v>21000</v>
      </c>
      <c r="I154">
        <v>0</v>
      </c>
      <c r="J154">
        <v>21000</v>
      </c>
      <c r="K154">
        <v>21000</v>
      </c>
      <c r="L154" t="s">
        <v>4787</v>
      </c>
      <c r="M154" t="s">
        <v>5096</v>
      </c>
    </row>
    <row r="155" spans="1:13" x14ac:dyDescent="0.3">
      <c r="A155" t="s">
        <v>5097</v>
      </c>
      <c r="B155" t="s">
        <v>398</v>
      </c>
      <c r="C155" t="s">
        <v>1785</v>
      </c>
      <c r="D155" s="1">
        <v>46098</v>
      </c>
      <c r="E155" t="s">
        <v>76</v>
      </c>
      <c r="F155" t="s">
        <v>6183</v>
      </c>
      <c r="G15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55">
        <f>Payment_Dataset[[#This Row],[Total Amount]]-Payment_Dataset[[#This Row],[Amount_Paid]]</f>
        <v>0</v>
      </c>
      <c r="I155">
        <v>0</v>
      </c>
      <c r="J155">
        <v>0</v>
      </c>
      <c r="K155">
        <v>0</v>
      </c>
      <c r="L155" t="s">
        <v>6178</v>
      </c>
      <c r="M155" t="s">
        <v>5098</v>
      </c>
    </row>
    <row r="156" spans="1:13" x14ac:dyDescent="0.3">
      <c r="A156" t="s">
        <v>5099</v>
      </c>
      <c r="B156" t="s">
        <v>401</v>
      </c>
      <c r="C156" t="s">
        <v>1561</v>
      </c>
      <c r="D156" s="1">
        <v>46041</v>
      </c>
      <c r="E156" t="s">
        <v>12</v>
      </c>
      <c r="F156" t="s">
        <v>6181</v>
      </c>
      <c r="G15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56">
        <f>Payment_Dataset[[#This Row],[Total Amount]]-Payment_Dataset[[#This Row],[Amount_Paid]]</f>
        <v>16200</v>
      </c>
      <c r="I156">
        <v>0</v>
      </c>
      <c r="J156">
        <v>16200</v>
      </c>
      <c r="K156">
        <v>16200</v>
      </c>
      <c r="L156" t="s">
        <v>4796</v>
      </c>
      <c r="M156" t="s">
        <v>5100</v>
      </c>
    </row>
    <row r="157" spans="1:13" x14ac:dyDescent="0.3">
      <c r="A157" t="s">
        <v>5101</v>
      </c>
      <c r="B157" t="s">
        <v>403</v>
      </c>
      <c r="C157" t="s">
        <v>1272</v>
      </c>
      <c r="D157" s="1">
        <v>46043</v>
      </c>
      <c r="E157" t="s">
        <v>76</v>
      </c>
      <c r="F157" t="s">
        <v>6183</v>
      </c>
      <c r="G15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57">
        <f>Payment_Dataset[[#This Row],[Total Amount]]-Payment_Dataset[[#This Row],[Amount_Paid]]</f>
        <v>0</v>
      </c>
      <c r="I157">
        <v>0</v>
      </c>
      <c r="J157">
        <v>0</v>
      </c>
      <c r="K157">
        <v>0</v>
      </c>
      <c r="L157" t="s">
        <v>6178</v>
      </c>
      <c r="M157" t="s">
        <v>5102</v>
      </c>
    </row>
    <row r="158" spans="1:13" x14ac:dyDescent="0.3">
      <c r="A158" t="s">
        <v>5103</v>
      </c>
      <c r="B158" t="s">
        <v>405</v>
      </c>
      <c r="C158" t="s">
        <v>3818</v>
      </c>
      <c r="D158" s="1">
        <v>46179</v>
      </c>
      <c r="E158" t="s">
        <v>12</v>
      </c>
      <c r="F158" t="s">
        <v>6181</v>
      </c>
      <c r="G15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58">
        <f>Payment_Dataset[[#This Row],[Total Amount]]-Payment_Dataset[[#This Row],[Amount_Paid]]</f>
        <v>23100</v>
      </c>
      <c r="I158">
        <v>0</v>
      </c>
      <c r="J158">
        <v>23100</v>
      </c>
      <c r="K158">
        <v>23100</v>
      </c>
      <c r="L158" t="s">
        <v>4793</v>
      </c>
      <c r="M158" t="s">
        <v>5104</v>
      </c>
    </row>
    <row r="159" spans="1:13" x14ac:dyDescent="0.3">
      <c r="A159" t="s">
        <v>5105</v>
      </c>
      <c r="B159" t="s">
        <v>408</v>
      </c>
      <c r="C159" t="s">
        <v>562</v>
      </c>
      <c r="D159" s="1">
        <v>46175</v>
      </c>
      <c r="E159" t="s">
        <v>38</v>
      </c>
      <c r="F159" t="s">
        <v>6180</v>
      </c>
      <c r="G15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21000</v>
      </c>
      <c r="H159">
        <f>Payment_Dataset[[#This Row],[Total Amount]]-Payment_Dataset[[#This Row],[Amount_Paid]]</f>
        <v>0</v>
      </c>
      <c r="I159">
        <v>21000</v>
      </c>
      <c r="J159">
        <v>0</v>
      </c>
      <c r="K159">
        <v>21000</v>
      </c>
      <c r="L159" t="s">
        <v>4799</v>
      </c>
      <c r="M159" t="s">
        <v>5106</v>
      </c>
    </row>
    <row r="160" spans="1:13" x14ac:dyDescent="0.3">
      <c r="A160" t="s">
        <v>5107</v>
      </c>
      <c r="B160" t="s">
        <v>410</v>
      </c>
      <c r="C160" t="s">
        <v>1522</v>
      </c>
      <c r="D160" s="1">
        <v>46105</v>
      </c>
      <c r="E160" t="s">
        <v>38</v>
      </c>
      <c r="F160" t="s">
        <v>6180</v>
      </c>
      <c r="G16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11400</v>
      </c>
      <c r="H160">
        <f>Payment_Dataset[[#This Row],[Total Amount]]-Payment_Dataset[[#This Row],[Amount_Paid]]</f>
        <v>0</v>
      </c>
      <c r="I160">
        <v>11400</v>
      </c>
      <c r="J160">
        <v>0</v>
      </c>
      <c r="K160">
        <v>11400</v>
      </c>
      <c r="L160" t="s">
        <v>4796</v>
      </c>
      <c r="M160" t="s">
        <v>5108</v>
      </c>
    </row>
    <row r="161" spans="1:13" x14ac:dyDescent="0.3">
      <c r="A161" t="s">
        <v>5109</v>
      </c>
      <c r="B161" t="s">
        <v>412</v>
      </c>
      <c r="C161" t="s">
        <v>3997</v>
      </c>
      <c r="D161" s="1">
        <v>46103</v>
      </c>
      <c r="E161" t="s">
        <v>12</v>
      </c>
      <c r="F161" t="s">
        <v>6181</v>
      </c>
      <c r="G16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61">
        <f>Payment_Dataset[[#This Row],[Total Amount]]-Payment_Dataset[[#This Row],[Amount_Paid]]</f>
        <v>14000</v>
      </c>
      <c r="I161">
        <v>0</v>
      </c>
      <c r="J161">
        <v>14000</v>
      </c>
      <c r="K161">
        <v>14000</v>
      </c>
      <c r="L161" t="s">
        <v>4787</v>
      </c>
      <c r="M161" t="s">
        <v>5110</v>
      </c>
    </row>
    <row r="162" spans="1:13" x14ac:dyDescent="0.3">
      <c r="A162" t="s">
        <v>5111</v>
      </c>
      <c r="B162" t="s">
        <v>414</v>
      </c>
      <c r="C162" t="s">
        <v>1102</v>
      </c>
      <c r="D162" s="1">
        <v>46054</v>
      </c>
      <c r="E162" t="s">
        <v>12</v>
      </c>
      <c r="F162" t="s">
        <v>6181</v>
      </c>
      <c r="G16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62">
        <f>Payment_Dataset[[#This Row],[Total Amount]]-Payment_Dataset[[#This Row],[Amount_Paid]]</f>
        <v>14000</v>
      </c>
      <c r="I162">
        <v>0</v>
      </c>
      <c r="J162">
        <v>14000</v>
      </c>
      <c r="K162">
        <v>14000</v>
      </c>
      <c r="L162" t="s">
        <v>4790</v>
      </c>
      <c r="M162" t="s">
        <v>5112</v>
      </c>
    </row>
    <row r="163" spans="1:13" x14ac:dyDescent="0.3">
      <c r="A163" t="s">
        <v>5113</v>
      </c>
      <c r="B163" t="s">
        <v>416</v>
      </c>
      <c r="C163" t="s">
        <v>2651</v>
      </c>
      <c r="D163" s="1">
        <v>46118</v>
      </c>
      <c r="E163" t="s">
        <v>49</v>
      </c>
      <c r="F163" t="s">
        <v>6182</v>
      </c>
      <c r="G16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1645</v>
      </c>
      <c r="H163">
        <f>Payment_Dataset[[#This Row],[Total Amount]]-Payment_Dataset[[#This Row],[Amount_Paid]]</f>
        <v>3055</v>
      </c>
      <c r="I163">
        <v>1645</v>
      </c>
      <c r="J163">
        <v>3055</v>
      </c>
      <c r="K163">
        <v>4700</v>
      </c>
      <c r="L163" t="s">
        <v>4799</v>
      </c>
      <c r="M163" t="s">
        <v>5114</v>
      </c>
    </row>
    <row r="164" spans="1:13" x14ac:dyDescent="0.3">
      <c r="A164" t="s">
        <v>5115</v>
      </c>
      <c r="B164" t="s">
        <v>418</v>
      </c>
      <c r="C164" t="s">
        <v>3023</v>
      </c>
      <c r="D164" s="1">
        <v>46181</v>
      </c>
      <c r="E164" t="s">
        <v>12</v>
      </c>
      <c r="F164" t="s">
        <v>6181</v>
      </c>
      <c r="G16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64">
        <f>Payment_Dataset[[#This Row],[Total Amount]]-Payment_Dataset[[#This Row],[Amount_Paid]]</f>
        <v>38500</v>
      </c>
      <c r="I164">
        <v>0</v>
      </c>
      <c r="J164">
        <v>38500</v>
      </c>
      <c r="K164">
        <v>38500</v>
      </c>
      <c r="L164" t="s">
        <v>4793</v>
      </c>
      <c r="M164" t="s">
        <v>5116</v>
      </c>
    </row>
    <row r="165" spans="1:13" x14ac:dyDescent="0.3">
      <c r="A165" t="s">
        <v>5117</v>
      </c>
      <c r="B165" t="s">
        <v>420</v>
      </c>
      <c r="C165" t="s">
        <v>4270</v>
      </c>
      <c r="D165" s="1">
        <v>46049</v>
      </c>
      <c r="E165" t="s">
        <v>76</v>
      </c>
      <c r="F165" t="s">
        <v>6183</v>
      </c>
      <c r="G16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65">
        <f>Payment_Dataset[[#This Row],[Total Amount]]-Payment_Dataset[[#This Row],[Amount_Paid]]</f>
        <v>0</v>
      </c>
      <c r="I165">
        <v>0</v>
      </c>
      <c r="J165">
        <v>0</v>
      </c>
      <c r="K165">
        <v>0</v>
      </c>
      <c r="L165" t="s">
        <v>6178</v>
      </c>
      <c r="M165" t="s">
        <v>5118</v>
      </c>
    </row>
    <row r="166" spans="1:13" x14ac:dyDescent="0.3">
      <c r="A166" t="s">
        <v>5119</v>
      </c>
      <c r="B166" t="s">
        <v>422</v>
      </c>
      <c r="C166" t="s">
        <v>3312</v>
      </c>
      <c r="D166" s="1">
        <v>46070</v>
      </c>
      <c r="E166" t="s">
        <v>12</v>
      </c>
      <c r="F166" t="s">
        <v>6181</v>
      </c>
      <c r="G16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66">
        <f>Payment_Dataset[[#This Row],[Total Amount]]-Payment_Dataset[[#This Row],[Amount_Paid]]</f>
        <v>14000</v>
      </c>
      <c r="I166">
        <v>0</v>
      </c>
      <c r="J166">
        <v>14000</v>
      </c>
      <c r="K166">
        <v>14000</v>
      </c>
      <c r="L166" t="s">
        <v>4796</v>
      </c>
      <c r="M166" t="s">
        <v>5120</v>
      </c>
    </row>
    <row r="167" spans="1:13" x14ac:dyDescent="0.3">
      <c r="A167" t="s">
        <v>5121</v>
      </c>
      <c r="B167" t="s">
        <v>425</v>
      </c>
      <c r="C167" t="s">
        <v>145</v>
      </c>
      <c r="D167" s="1">
        <v>46085</v>
      </c>
      <c r="E167" t="s">
        <v>38</v>
      </c>
      <c r="F167" t="s">
        <v>6180</v>
      </c>
      <c r="G16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52500</v>
      </c>
      <c r="H167">
        <f>Payment_Dataset[[#This Row],[Total Amount]]-Payment_Dataset[[#This Row],[Amount_Paid]]</f>
        <v>0</v>
      </c>
      <c r="I167">
        <v>52500</v>
      </c>
      <c r="J167">
        <v>0</v>
      </c>
      <c r="K167">
        <v>52500</v>
      </c>
      <c r="L167" t="s">
        <v>4793</v>
      </c>
      <c r="M167" t="s">
        <v>5122</v>
      </c>
    </row>
    <row r="168" spans="1:13" x14ac:dyDescent="0.3">
      <c r="A168" t="s">
        <v>5123</v>
      </c>
      <c r="B168" t="s">
        <v>427</v>
      </c>
      <c r="C168" t="s">
        <v>4189</v>
      </c>
      <c r="D168" s="1">
        <v>46108</v>
      </c>
      <c r="E168" t="s">
        <v>12</v>
      </c>
      <c r="F168" t="s">
        <v>6181</v>
      </c>
      <c r="G16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68">
        <f>Payment_Dataset[[#This Row],[Total Amount]]-Payment_Dataset[[#This Row],[Amount_Paid]]</f>
        <v>7000</v>
      </c>
      <c r="I168">
        <v>0</v>
      </c>
      <c r="J168">
        <v>7000</v>
      </c>
      <c r="K168">
        <v>7000</v>
      </c>
      <c r="L168" t="s">
        <v>4793</v>
      </c>
      <c r="M168" t="s">
        <v>5124</v>
      </c>
    </row>
    <row r="169" spans="1:13" x14ac:dyDescent="0.3">
      <c r="A169" t="s">
        <v>5125</v>
      </c>
      <c r="B169" t="s">
        <v>429</v>
      </c>
      <c r="C169" t="s">
        <v>2843</v>
      </c>
      <c r="D169" s="1">
        <v>46038</v>
      </c>
      <c r="E169" t="s">
        <v>12</v>
      </c>
      <c r="F169" t="s">
        <v>6181</v>
      </c>
      <c r="G16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69">
        <f>Payment_Dataset[[#This Row],[Total Amount]]-Payment_Dataset[[#This Row],[Amount_Paid]]</f>
        <v>52500</v>
      </c>
      <c r="I169">
        <v>0</v>
      </c>
      <c r="J169">
        <v>52500</v>
      </c>
      <c r="K169">
        <v>52500</v>
      </c>
      <c r="L169" t="s">
        <v>4796</v>
      </c>
      <c r="M169" t="s">
        <v>5126</v>
      </c>
    </row>
    <row r="170" spans="1:13" x14ac:dyDescent="0.3">
      <c r="A170" t="s">
        <v>5127</v>
      </c>
      <c r="B170" t="s">
        <v>431</v>
      </c>
      <c r="C170" t="s">
        <v>2705</v>
      </c>
      <c r="D170" s="1">
        <v>46050</v>
      </c>
      <c r="E170" t="s">
        <v>49</v>
      </c>
      <c r="F170" t="s">
        <v>6182</v>
      </c>
      <c r="G17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10500</v>
      </c>
      <c r="H170">
        <f>Payment_Dataset[[#This Row],[Total Amount]]-Payment_Dataset[[#This Row],[Amount_Paid]]</f>
        <v>19500</v>
      </c>
      <c r="I170">
        <v>10500</v>
      </c>
      <c r="J170">
        <v>19500</v>
      </c>
      <c r="K170">
        <v>30000</v>
      </c>
      <c r="L170" t="s">
        <v>4793</v>
      </c>
      <c r="M170" t="s">
        <v>5128</v>
      </c>
    </row>
    <row r="171" spans="1:13" x14ac:dyDescent="0.3">
      <c r="A171" t="s">
        <v>5129</v>
      </c>
      <c r="B171" t="s">
        <v>433</v>
      </c>
      <c r="C171" t="s">
        <v>1000</v>
      </c>
      <c r="D171" s="1">
        <v>46141</v>
      </c>
      <c r="E171" t="s">
        <v>49</v>
      </c>
      <c r="F171" t="s">
        <v>6182</v>
      </c>
      <c r="G17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15924.999999999998</v>
      </c>
      <c r="H171">
        <f>Payment_Dataset[[#This Row],[Total Amount]]-Payment_Dataset[[#This Row],[Amount_Paid]]</f>
        <v>29575</v>
      </c>
      <c r="I171">
        <v>15925</v>
      </c>
      <c r="J171">
        <v>29575</v>
      </c>
      <c r="K171">
        <v>45500</v>
      </c>
      <c r="L171" t="s">
        <v>4796</v>
      </c>
      <c r="M171" t="s">
        <v>5130</v>
      </c>
    </row>
    <row r="172" spans="1:13" x14ac:dyDescent="0.3">
      <c r="A172" t="s">
        <v>5131</v>
      </c>
      <c r="B172" t="s">
        <v>435</v>
      </c>
      <c r="C172" t="s">
        <v>281</v>
      </c>
      <c r="D172" s="1">
        <v>46045</v>
      </c>
      <c r="E172" t="s">
        <v>12</v>
      </c>
      <c r="F172" t="s">
        <v>6181</v>
      </c>
      <c r="G17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72">
        <f>Payment_Dataset[[#This Row],[Total Amount]]-Payment_Dataset[[#This Row],[Amount_Paid]]</f>
        <v>40200</v>
      </c>
      <c r="I172">
        <v>0</v>
      </c>
      <c r="J172">
        <v>40200</v>
      </c>
      <c r="K172">
        <v>40200</v>
      </c>
      <c r="L172" t="s">
        <v>4796</v>
      </c>
      <c r="M172" t="s">
        <v>5132</v>
      </c>
    </row>
    <row r="173" spans="1:13" x14ac:dyDescent="0.3">
      <c r="A173" t="s">
        <v>5133</v>
      </c>
      <c r="B173" t="s">
        <v>437</v>
      </c>
      <c r="C173" t="s">
        <v>1673</v>
      </c>
      <c r="D173" s="1">
        <v>46119</v>
      </c>
      <c r="E173" t="s">
        <v>49</v>
      </c>
      <c r="F173" t="s">
        <v>6182</v>
      </c>
      <c r="G17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8680</v>
      </c>
      <c r="H173">
        <f>Payment_Dataset[[#This Row],[Total Amount]]-Payment_Dataset[[#This Row],[Amount_Paid]]</f>
        <v>16120</v>
      </c>
      <c r="I173">
        <v>8680</v>
      </c>
      <c r="J173">
        <v>16120</v>
      </c>
      <c r="K173">
        <v>24800</v>
      </c>
      <c r="L173" t="s">
        <v>4793</v>
      </c>
      <c r="M173" t="s">
        <v>5134</v>
      </c>
    </row>
    <row r="174" spans="1:13" x14ac:dyDescent="0.3">
      <c r="A174" t="s">
        <v>5135</v>
      </c>
      <c r="B174" t="s">
        <v>440</v>
      </c>
      <c r="C174" t="s">
        <v>4018</v>
      </c>
      <c r="D174" s="1">
        <v>46030</v>
      </c>
      <c r="E174" t="s">
        <v>12</v>
      </c>
      <c r="F174" t="s">
        <v>6181</v>
      </c>
      <c r="G17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74">
        <f>Payment_Dataset[[#This Row],[Total Amount]]-Payment_Dataset[[#This Row],[Amount_Paid]]</f>
        <v>16800</v>
      </c>
      <c r="I174">
        <v>0</v>
      </c>
      <c r="J174">
        <v>16800</v>
      </c>
      <c r="K174">
        <v>16800</v>
      </c>
      <c r="L174" t="s">
        <v>4787</v>
      </c>
      <c r="M174" t="s">
        <v>5136</v>
      </c>
    </row>
    <row r="175" spans="1:13" x14ac:dyDescent="0.3">
      <c r="A175" t="s">
        <v>5137</v>
      </c>
      <c r="B175" t="s">
        <v>442</v>
      </c>
      <c r="C175" t="s">
        <v>511</v>
      </c>
      <c r="D175" s="1">
        <v>46062</v>
      </c>
      <c r="E175" t="s">
        <v>12</v>
      </c>
      <c r="F175" t="s">
        <v>6181</v>
      </c>
      <c r="G17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75">
        <f>Payment_Dataset[[#This Row],[Total Amount]]-Payment_Dataset[[#This Row],[Amount_Paid]]</f>
        <v>14400</v>
      </c>
      <c r="I175">
        <v>0</v>
      </c>
      <c r="J175">
        <v>14400</v>
      </c>
      <c r="K175">
        <v>14400</v>
      </c>
      <c r="L175" t="s">
        <v>4793</v>
      </c>
      <c r="M175" t="s">
        <v>5138</v>
      </c>
    </row>
    <row r="176" spans="1:13" x14ac:dyDescent="0.3">
      <c r="A176" t="s">
        <v>5139</v>
      </c>
      <c r="B176" t="s">
        <v>444</v>
      </c>
      <c r="C176" t="s">
        <v>3857</v>
      </c>
      <c r="D176" s="1">
        <v>46201</v>
      </c>
      <c r="E176" t="s">
        <v>12</v>
      </c>
      <c r="F176" t="s">
        <v>6181</v>
      </c>
      <c r="G17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76">
        <f>Payment_Dataset[[#This Row],[Total Amount]]-Payment_Dataset[[#This Row],[Amount_Paid]]</f>
        <v>21000</v>
      </c>
      <c r="I176">
        <v>0</v>
      </c>
      <c r="J176">
        <v>21000</v>
      </c>
      <c r="K176">
        <v>21000</v>
      </c>
      <c r="L176" t="s">
        <v>4796</v>
      </c>
      <c r="M176" t="s">
        <v>5140</v>
      </c>
    </row>
    <row r="177" spans="1:13" x14ac:dyDescent="0.3">
      <c r="A177" t="s">
        <v>5141</v>
      </c>
      <c r="B177" t="s">
        <v>447</v>
      </c>
      <c r="C177" t="s">
        <v>2210</v>
      </c>
      <c r="D177" s="1">
        <v>46055</v>
      </c>
      <c r="E177" t="s">
        <v>38</v>
      </c>
      <c r="F177" t="s">
        <v>6180</v>
      </c>
      <c r="G17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7700</v>
      </c>
      <c r="H177">
        <f>Payment_Dataset[[#This Row],[Total Amount]]-Payment_Dataset[[#This Row],[Amount_Paid]]</f>
        <v>0</v>
      </c>
      <c r="I177">
        <v>7700</v>
      </c>
      <c r="J177">
        <v>0</v>
      </c>
      <c r="K177">
        <v>7700</v>
      </c>
      <c r="L177" t="s">
        <v>4796</v>
      </c>
      <c r="M177" t="s">
        <v>5142</v>
      </c>
    </row>
    <row r="178" spans="1:13" x14ac:dyDescent="0.3">
      <c r="A178" t="s">
        <v>5143</v>
      </c>
      <c r="B178" t="s">
        <v>449</v>
      </c>
      <c r="C178" t="s">
        <v>2437</v>
      </c>
      <c r="D178" s="1">
        <v>46037</v>
      </c>
      <c r="E178" t="s">
        <v>12</v>
      </c>
      <c r="F178" t="s">
        <v>6181</v>
      </c>
      <c r="G17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78">
        <f>Payment_Dataset[[#This Row],[Total Amount]]-Payment_Dataset[[#This Row],[Amount_Paid]]</f>
        <v>30100</v>
      </c>
      <c r="I178">
        <v>0</v>
      </c>
      <c r="J178">
        <v>30100</v>
      </c>
      <c r="K178">
        <v>30100</v>
      </c>
      <c r="L178" t="s">
        <v>4799</v>
      </c>
      <c r="M178" t="s">
        <v>5144</v>
      </c>
    </row>
    <row r="179" spans="1:13" x14ac:dyDescent="0.3">
      <c r="A179" t="s">
        <v>5145</v>
      </c>
      <c r="B179" t="s">
        <v>451</v>
      </c>
      <c r="C179" t="s">
        <v>2912</v>
      </c>
      <c r="D179" s="1">
        <v>46121</v>
      </c>
      <c r="E179" t="s">
        <v>12</v>
      </c>
      <c r="F179" t="s">
        <v>6181</v>
      </c>
      <c r="G17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79">
        <f>Payment_Dataset[[#This Row],[Total Amount]]-Payment_Dataset[[#This Row],[Amount_Paid]]</f>
        <v>21000</v>
      </c>
      <c r="I179">
        <v>0</v>
      </c>
      <c r="J179">
        <v>21000</v>
      </c>
      <c r="K179">
        <v>21000</v>
      </c>
      <c r="L179" t="s">
        <v>4790</v>
      </c>
      <c r="M179" t="s">
        <v>5146</v>
      </c>
    </row>
    <row r="180" spans="1:13" x14ac:dyDescent="0.3">
      <c r="A180" t="s">
        <v>5147</v>
      </c>
      <c r="B180" t="s">
        <v>453</v>
      </c>
      <c r="C180" t="s">
        <v>3947</v>
      </c>
      <c r="D180" s="1">
        <v>46133</v>
      </c>
      <c r="E180" t="s">
        <v>12</v>
      </c>
      <c r="F180" t="s">
        <v>6181</v>
      </c>
      <c r="G18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80">
        <f>Payment_Dataset[[#This Row],[Total Amount]]-Payment_Dataset[[#This Row],[Amount_Paid]]</f>
        <v>9400</v>
      </c>
      <c r="I180">
        <v>0</v>
      </c>
      <c r="J180">
        <v>9400</v>
      </c>
      <c r="K180">
        <v>9400</v>
      </c>
      <c r="L180" t="s">
        <v>4787</v>
      </c>
      <c r="M180" t="s">
        <v>5148</v>
      </c>
    </row>
    <row r="181" spans="1:13" x14ac:dyDescent="0.3">
      <c r="A181" t="s">
        <v>5149</v>
      </c>
      <c r="B181" t="s">
        <v>455</v>
      </c>
      <c r="C181" t="s">
        <v>4448</v>
      </c>
      <c r="D181" s="1">
        <v>46071</v>
      </c>
      <c r="E181" t="s">
        <v>76</v>
      </c>
      <c r="F181" t="s">
        <v>6183</v>
      </c>
      <c r="G18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81">
        <f>Payment_Dataset[[#This Row],[Total Amount]]-Payment_Dataset[[#This Row],[Amount_Paid]]</f>
        <v>0</v>
      </c>
      <c r="I181">
        <v>0</v>
      </c>
      <c r="J181">
        <v>0</v>
      </c>
      <c r="K181">
        <v>0</v>
      </c>
      <c r="L181" t="s">
        <v>6178</v>
      </c>
      <c r="M181" t="s">
        <v>5150</v>
      </c>
    </row>
    <row r="182" spans="1:13" x14ac:dyDescent="0.3">
      <c r="A182" t="s">
        <v>5151</v>
      </c>
      <c r="B182" t="s">
        <v>457</v>
      </c>
      <c r="C182" t="s">
        <v>3233</v>
      </c>
      <c r="D182" s="1">
        <v>46037</v>
      </c>
      <c r="E182" t="s">
        <v>12</v>
      </c>
      <c r="F182" t="s">
        <v>6181</v>
      </c>
      <c r="G18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82">
        <f>Payment_Dataset[[#This Row],[Total Amount]]-Payment_Dataset[[#This Row],[Amount_Paid]]</f>
        <v>15000</v>
      </c>
      <c r="I182">
        <v>0</v>
      </c>
      <c r="J182">
        <v>15000</v>
      </c>
      <c r="K182">
        <v>15000</v>
      </c>
      <c r="L182" t="s">
        <v>4796</v>
      </c>
      <c r="M182" t="s">
        <v>5152</v>
      </c>
    </row>
    <row r="183" spans="1:13" x14ac:dyDescent="0.3">
      <c r="A183" t="s">
        <v>5153</v>
      </c>
      <c r="B183" t="s">
        <v>459</v>
      </c>
      <c r="C183" t="s">
        <v>3550</v>
      </c>
      <c r="D183" s="1">
        <v>46093</v>
      </c>
      <c r="E183" t="s">
        <v>38</v>
      </c>
      <c r="F183" t="s">
        <v>6180</v>
      </c>
      <c r="G18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11100</v>
      </c>
      <c r="H183">
        <f>Payment_Dataset[[#This Row],[Total Amount]]-Payment_Dataset[[#This Row],[Amount_Paid]]</f>
        <v>0</v>
      </c>
      <c r="I183">
        <v>11100</v>
      </c>
      <c r="J183">
        <v>0</v>
      </c>
      <c r="K183">
        <v>11100</v>
      </c>
      <c r="L183" t="s">
        <v>4796</v>
      </c>
      <c r="M183" t="s">
        <v>5154</v>
      </c>
    </row>
    <row r="184" spans="1:13" x14ac:dyDescent="0.3">
      <c r="A184" t="s">
        <v>5155</v>
      </c>
      <c r="B184" t="s">
        <v>461</v>
      </c>
      <c r="C184" t="s">
        <v>3880</v>
      </c>
      <c r="D184" s="1">
        <v>46040</v>
      </c>
      <c r="E184" t="s">
        <v>49</v>
      </c>
      <c r="F184" t="s">
        <v>6182</v>
      </c>
      <c r="G18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15924.999999999998</v>
      </c>
      <c r="H184">
        <f>Payment_Dataset[[#This Row],[Total Amount]]-Payment_Dataset[[#This Row],[Amount_Paid]]</f>
        <v>29575</v>
      </c>
      <c r="I184">
        <v>15925</v>
      </c>
      <c r="J184">
        <v>29575</v>
      </c>
      <c r="K184">
        <v>45500</v>
      </c>
      <c r="L184" t="s">
        <v>4790</v>
      </c>
      <c r="M184" t="s">
        <v>5156</v>
      </c>
    </row>
    <row r="185" spans="1:13" x14ac:dyDescent="0.3">
      <c r="A185" t="s">
        <v>5157</v>
      </c>
      <c r="B185" t="s">
        <v>463</v>
      </c>
      <c r="C185" t="s">
        <v>4350</v>
      </c>
      <c r="D185" s="1">
        <v>46098</v>
      </c>
      <c r="E185" t="s">
        <v>38</v>
      </c>
      <c r="F185" t="s">
        <v>6180</v>
      </c>
      <c r="G18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14000</v>
      </c>
      <c r="H185">
        <f>Payment_Dataset[[#This Row],[Total Amount]]-Payment_Dataset[[#This Row],[Amount_Paid]]</f>
        <v>0</v>
      </c>
      <c r="I185">
        <v>14000</v>
      </c>
      <c r="J185">
        <v>0</v>
      </c>
      <c r="K185">
        <v>14000</v>
      </c>
      <c r="L185" t="s">
        <v>4793</v>
      </c>
      <c r="M185" t="s">
        <v>5158</v>
      </c>
    </row>
    <row r="186" spans="1:13" x14ac:dyDescent="0.3">
      <c r="A186" t="s">
        <v>5159</v>
      </c>
      <c r="B186" t="s">
        <v>465</v>
      </c>
      <c r="C186" t="s">
        <v>3904</v>
      </c>
      <c r="D186" s="1">
        <v>46077</v>
      </c>
      <c r="E186" t="s">
        <v>38</v>
      </c>
      <c r="F186" t="s">
        <v>6180</v>
      </c>
      <c r="G18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10500</v>
      </c>
      <c r="H186">
        <f>Payment_Dataset[[#This Row],[Total Amount]]-Payment_Dataset[[#This Row],[Amount_Paid]]</f>
        <v>0</v>
      </c>
      <c r="I186">
        <v>10500</v>
      </c>
      <c r="J186">
        <v>0</v>
      </c>
      <c r="K186">
        <v>10500</v>
      </c>
      <c r="L186" t="s">
        <v>4793</v>
      </c>
      <c r="M186" t="s">
        <v>5160</v>
      </c>
    </row>
    <row r="187" spans="1:13" x14ac:dyDescent="0.3">
      <c r="A187" t="s">
        <v>5161</v>
      </c>
      <c r="B187" t="s">
        <v>467</v>
      </c>
      <c r="C187" t="s">
        <v>3814</v>
      </c>
      <c r="D187" s="1">
        <v>46044</v>
      </c>
      <c r="E187" t="s">
        <v>38</v>
      </c>
      <c r="F187" t="s">
        <v>6180</v>
      </c>
      <c r="G18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38500</v>
      </c>
      <c r="H187">
        <f>Payment_Dataset[[#This Row],[Total Amount]]-Payment_Dataset[[#This Row],[Amount_Paid]]</f>
        <v>0</v>
      </c>
      <c r="I187">
        <v>38500</v>
      </c>
      <c r="J187">
        <v>0</v>
      </c>
      <c r="K187">
        <v>38500</v>
      </c>
      <c r="L187" t="s">
        <v>4790</v>
      </c>
      <c r="M187" t="s">
        <v>5162</v>
      </c>
    </row>
    <row r="188" spans="1:13" x14ac:dyDescent="0.3">
      <c r="A188" t="s">
        <v>5163</v>
      </c>
      <c r="B188" t="s">
        <v>469</v>
      </c>
      <c r="C188" t="s">
        <v>2275</v>
      </c>
      <c r="D188" s="1">
        <v>46130</v>
      </c>
      <c r="E188" t="s">
        <v>38</v>
      </c>
      <c r="F188" t="s">
        <v>6180</v>
      </c>
      <c r="G18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9400</v>
      </c>
      <c r="H188">
        <f>Payment_Dataset[[#This Row],[Total Amount]]-Payment_Dataset[[#This Row],[Amount_Paid]]</f>
        <v>0</v>
      </c>
      <c r="I188">
        <v>9400</v>
      </c>
      <c r="J188">
        <v>0</v>
      </c>
      <c r="K188">
        <v>9400</v>
      </c>
      <c r="L188" t="s">
        <v>4799</v>
      </c>
      <c r="M188" t="s">
        <v>5164</v>
      </c>
    </row>
    <row r="189" spans="1:13" x14ac:dyDescent="0.3">
      <c r="A189" t="s">
        <v>5165</v>
      </c>
      <c r="B189" t="s">
        <v>471</v>
      </c>
      <c r="C189" t="s">
        <v>1268</v>
      </c>
      <c r="D189" s="1">
        <v>46128</v>
      </c>
      <c r="E189" t="s">
        <v>12</v>
      </c>
      <c r="F189" t="s">
        <v>6181</v>
      </c>
      <c r="G18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89">
        <f>Payment_Dataset[[#This Row],[Total Amount]]-Payment_Dataset[[#This Row],[Amount_Paid]]</f>
        <v>21600</v>
      </c>
      <c r="I189">
        <v>0</v>
      </c>
      <c r="J189">
        <v>21600</v>
      </c>
      <c r="K189">
        <v>21600</v>
      </c>
      <c r="L189" t="s">
        <v>4793</v>
      </c>
      <c r="M189" t="s">
        <v>5166</v>
      </c>
    </row>
    <row r="190" spans="1:13" x14ac:dyDescent="0.3">
      <c r="A190" t="s">
        <v>5167</v>
      </c>
      <c r="B190" t="s">
        <v>473</v>
      </c>
      <c r="C190" t="s">
        <v>3314</v>
      </c>
      <c r="D190" s="1">
        <v>46107</v>
      </c>
      <c r="E190" t="s">
        <v>12</v>
      </c>
      <c r="F190" t="s">
        <v>6181</v>
      </c>
      <c r="G19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90">
        <f>Payment_Dataset[[#This Row],[Total Amount]]-Payment_Dataset[[#This Row],[Amount_Paid]]</f>
        <v>23100</v>
      </c>
      <c r="I190">
        <v>0</v>
      </c>
      <c r="J190">
        <v>23100</v>
      </c>
      <c r="K190">
        <v>23100</v>
      </c>
      <c r="L190" t="s">
        <v>4787</v>
      </c>
      <c r="M190" t="s">
        <v>5168</v>
      </c>
    </row>
    <row r="191" spans="1:13" x14ac:dyDescent="0.3">
      <c r="A191" t="s">
        <v>5169</v>
      </c>
      <c r="B191" t="s">
        <v>475</v>
      </c>
      <c r="C191" t="s">
        <v>2914</v>
      </c>
      <c r="D191" s="1">
        <v>46149</v>
      </c>
      <c r="E191" t="s">
        <v>38</v>
      </c>
      <c r="F191" t="s">
        <v>6180</v>
      </c>
      <c r="G19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29400</v>
      </c>
      <c r="H191">
        <f>Payment_Dataset[[#This Row],[Total Amount]]-Payment_Dataset[[#This Row],[Amount_Paid]]</f>
        <v>0</v>
      </c>
      <c r="I191">
        <v>29400</v>
      </c>
      <c r="J191">
        <v>0</v>
      </c>
      <c r="K191">
        <v>29400</v>
      </c>
      <c r="L191" t="s">
        <v>4796</v>
      </c>
      <c r="M191" t="s">
        <v>5170</v>
      </c>
    </row>
    <row r="192" spans="1:13" x14ac:dyDescent="0.3">
      <c r="A192" t="s">
        <v>5171</v>
      </c>
      <c r="B192" t="s">
        <v>478</v>
      </c>
      <c r="C192" t="s">
        <v>1933</v>
      </c>
      <c r="D192" s="1">
        <v>46069</v>
      </c>
      <c r="E192" t="s">
        <v>12</v>
      </c>
      <c r="F192" t="s">
        <v>6181</v>
      </c>
      <c r="G19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92">
        <f>Payment_Dataset[[#This Row],[Total Amount]]-Payment_Dataset[[#This Row],[Amount_Paid]]</f>
        <v>14400</v>
      </c>
      <c r="I192">
        <v>0</v>
      </c>
      <c r="J192">
        <v>14400</v>
      </c>
      <c r="K192">
        <v>14400</v>
      </c>
      <c r="L192" t="s">
        <v>4793</v>
      </c>
      <c r="M192" t="s">
        <v>5172</v>
      </c>
    </row>
    <row r="193" spans="1:13" x14ac:dyDescent="0.3">
      <c r="A193" t="s">
        <v>5173</v>
      </c>
      <c r="B193" t="s">
        <v>480</v>
      </c>
      <c r="C193" t="s">
        <v>2347</v>
      </c>
      <c r="D193" s="1">
        <v>46107</v>
      </c>
      <c r="E193" t="s">
        <v>12</v>
      </c>
      <c r="F193" t="s">
        <v>6181</v>
      </c>
      <c r="G19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93">
        <f>Payment_Dataset[[#This Row],[Total Amount]]-Payment_Dataset[[#This Row],[Amount_Paid]]</f>
        <v>4200</v>
      </c>
      <c r="I193">
        <v>0</v>
      </c>
      <c r="J193">
        <v>4200</v>
      </c>
      <c r="K193">
        <v>4200</v>
      </c>
      <c r="L193" t="s">
        <v>4793</v>
      </c>
      <c r="M193" t="s">
        <v>5174</v>
      </c>
    </row>
    <row r="194" spans="1:13" x14ac:dyDescent="0.3">
      <c r="A194" t="s">
        <v>5175</v>
      </c>
      <c r="B194" t="s">
        <v>482</v>
      </c>
      <c r="C194" t="s">
        <v>2904</v>
      </c>
      <c r="D194" s="1">
        <v>46201</v>
      </c>
      <c r="E194" t="s">
        <v>38</v>
      </c>
      <c r="F194" t="s">
        <v>6180</v>
      </c>
      <c r="G19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15600</v>
      </c>
      <c r="H194">
        <f>Payment_Dataset[[#This Row],[Total Amount]]-Payment_Dataset[[#This Row],[Amount_Paid]]</f>
        <v>0</v>
      </c>
      <c r="I194">
        <v>15600</v>
      </c>
      <c r="J194">
        <v>0</v>
      </c>
      <c r="K194">
        <v>15600</v>
      </c>
      <c r="L194" t="s">
        <v>4787</v>
      </c>
      <c r="M194" t="s">
        <v>5176</v>
      </c>
    </row>
    <row r="195" spans="1:13" x14ac:dyDescent="0.3">
      <c r="A195" t="s">
        <v>5177</v>
      </c>
      <c r="B195" t="s">
        <v>484</v>
      </c>
      <c r="C195" t="s">
        <v>2888</v>
      </c>
      <c r="D195" s="1">
        <v>46123</v>
      </c>
      <c r="E195" t="s">
        <v>38</v>
      </c>
      <c r="F195" t="s">
        <v>6180</v>
      </c>
      <c r="G19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38500</v>
      </c>
      <c r="H195">
        <f>Payment_Dataset[[#This Row],[Total Amount]]-Payment_Dataset[[#This Row],[Amount_Paid]]</f>
        <v>0</v>
      </c>
      <c r="I195">
        <v>38500</v>
      </c>
      <c r="J195">
        <v>0</v>
      </c>
      <c r="K195">
        <v>38500</v>
      </c>
      <c r="L195" t="s">
        <v>4796</v>
      </c>
      <c r="M195" t="s">
        <v>5178</v>
      </c>
    </row>
    <row r="196" spans="1:13" x14ac:dyDescent="0.3">
      <c r="A196" t="s">
        <v>5179</v>
      </c>
      <c r="B196" t="s">
        <v>486</v>
      </c>
      <c r="C196" t="s">
        <v>3790</v>
      </c>
      <c r="D196" s="1">
        <v>46130</v>
      </c>
      <c r="E196" t="s">
        <v>38</v>
      </c>
      <c r="F196" t="s">
        <v>6180</v>
      </c>
      <c r="G19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56000</v>
      </c>
      <c r="H196">
        <f>Payment_Dataset[[#This Row],[Total Amount]]-Payment_Dataset[[#This Row],[Amount_Paid]]</f>
        <v>0</v>
      </c>
      <c r="I196">
        <v>56000</v>
      </c>
      <c r="J196">
        <v>0</v>
      </c>
      <c r="K196">
        <v>56000</v>
      </c>
      <c r="L196" t="s">
        <v>4793</v>
      </c>
      <c r="M196" t="s">
        <v>5180</v>
      </c>
    </row>
    <row r="197" spans="1:13" x14ac:dyDescent="0.3">
      <c r="A197" t="s">
        <v>5181</v>
      </c>
      <c r="B197" t="s">
        <v>489</v>
      </c>
      <c r="C197" t="s">
        <v>3037</v>
      </c>
      <c r="D197" s="1">
        <v>46186</v>
      </c>
      <c r="E197" t="s">
        <v>12</v>
      </c>
      <c r="F197" t="s">
        <v>6181</v>
      </c>
      <c r="G19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97">
        <f>Payment_Dataset[[#This Row],[Total Amount]]-Payment_Dataset[[#This Row],[Amount_Paid]]</f>
        <v>16600</v>
      </c>
      <c r="I197">
        <v>0</v>
      </c>
      <c r="J197">
        <v>16600</v>
      </c>
      <c r="K197">
        <v>16600</v>
      </c>
      <c r="L197" t="s">
        <v>4799</v>
      </c>
      <c r="M197" t="s">
        <v>5182</v>
      </c>
    </row>
    <row r="198" spans="1:13" x14ac:dyDescent="0.3">
      <c r="A198" t="s">
        <v>5183</v>
      </c>
      <c r="B198" t="s">
        <v>491</v>
      </c>
      <c r="C198" t="s">
        <v>690</v>
      </c>
      <c r="D198" s="1">
        <v>46198</v>
      </c>
      <c r="E198" t="s">
        <v>12</v>
      </c>
      <c r="F198" t="s">
        <v>6181</v>
      </c>
      <c r="G19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198">
        <f>Payment_Dataset[[#This Row],[Total Amount]]-Payment_Dataset[[#This Row],[Amount_Paid]]</f>
        <v>26800</v>
      </c>
      <c r="I198">
        <v>0</v>
      </c>
      <c r="J198">
        <v>26800</v>
      </c>
      <c r="K198">
        <v>26800</v>
      </c>
      <c r="L198" t="s">
        <v>4796</v>
      </c>
      <c r="M198" t="s">
        <v>5184</v>
      </c>
    </row>
    <row r="199" spans="1:13" x14ac:dyDescent="0.3">
      <c r="A199" t="s">
        <v>5185</v>
      </c>
      <c r="B199" t="s">
        <v>493</v>
      </c>
      <c r="C199" t="s">
        <v>2205</v>
      </c>
      <c r="D199" s="1">
        <v>46052</v>
      </c>
      <c r="E199" t="s">
        <v>38</v>
      </c>
      <c r="F199" t="s">
        <v>6180</v>
      </c>
      <c r="G19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41400</v>
      </c>
      <c r="H199">
        <f>Payment_Dataset[[#This Row],[Total Amount]]-Payment_Dataset[[#This Row],[Amount_Paid]]</f>
        <v>0</v>
      </c>
      <c r="I199">
        <v>41400</v>
      </c>
      <c r="J199">
        <v>0</v>
      </c>
      <c r="K199">
        <v>41400</v>
      </c>
      <c r="L199" t="s">
        <v>4787</v>
      </c>
      <c r="M199" t="s">
        <v>5186</v>
      </c>
    </row>
    <row r="200" spans="1:13" x14ac:dyDescent="0.3">
      <c r="A200" t="s">
        <v>5187</v>
      </c>
      <c r="B200" t="s">
        <v>495</v>
      </c>
      <c r="C200" t="s">
        <v>743</v>
      </c>
      <c r="D200" s="1">
        <v>46127</v>
      </c>
      <c r="E200" t="s">
        <v>12</v>
      </c>
      <c r="F200" t="s">
        <v>6181</v>
      </c>
      <c r="G20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00">
        <f>Payment_Dataset[[#This Row],[Total Amount]]-Payment_Dataset[[#This Row],[Amount_Paid]]</f>
        <v>6700</v>
      </c>
      <c r="I200">
        <v>0</v>
      </c>
      <c r="J200">
        <v>6700</v>
      </c>
      <c r="K200">
        <v>6700</v>
      </c>
      <c r="L200" t="s">
        <v>4799</v>
      </c>
      <c r="M200" t="s">
        <v>5188</v>
      </c>
    </row>
    <row r="201" spans="1:13" x14ac:dyDescent="0.3">
      <c r="A201" t="s">
        <v>5189</v>
      </c>
      <c r="B201" t="s">
        <v>497</v>
      </c>
      <c r="C201" t="s">
        <v>2995</v>
      </c>
      <c r="D201" s="1">
        <v>46136</v>
      </c>
      <c r="E201" t="s">
        <v>12</v>
      </c>
      <c r="F201" t="s">
        <v>6181</v>
      </c>
      <c r="G20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01">
        <f>Payment_Dataset[[#This Row],[Total Amount]]-Payment_Dataset[[#This Row],[Amount_Paid]]</f>
        <v>18800</v>
      </c>
      <c r="I201">
        <v>0</v>
      </c>
      <c r="J201">
        <v>18800</v>
      </c>
      <c r="K201">
        <v>18800</v>
      </c>
      <c r="L201" t="s">
        <v>4799</v>
      </c>
      <c r="M201" t="s">
        <v>5190</v>
      </c>
    </row>
    <row r="202" spans="1:13" x14ac:dyDescent="0.3">
      <c r="A202" t="s">
        <v>5191</v>
      </c>
      <c r="B202" t="s">
        <v>500</v>
      </c>
      <c r="C202" t="s">
        <v>1725</v>
      </c>
      <c r="D202" s="1">
        <v>46111</v>
      </c>
      <c r="E202" t="s">
        <v>12</v>
      </c>
      <c r="F202" t="s">
        <v>6181</v>
      </c>
      <c r="G20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02">
        <f>Payment_Dataset[[#This Row],[Total Amount]]-Payment_Dataset[[#This Row],[Amount_Paid]]</f>
        <v>15600</v>
      </c>
      <c r="I202">
        <v>0</v>
      </c>
      <c r="J202">
        <v>15600</v>
      </c>
      <c r="K202">
        <v>15600</v>
      </c>
      <c r="L202" t="s">
        <v>4787</v>
      </c>
      <c r="M202" t="s">
        <v>5192</v>
      </c>
    </row>
    <row r="203" spans="1:13" x14ac:dyDescent="0.3">
      <c r="A203" t="s">
        <v>5193</v>
      </c>
      <c r="B203" t="s">
        <v>502</v>
      </c>
      <c r="C203" t="s">
        <v>2768</v>
      </c>
      <c r="D203" s="1">
        <v>46173</v>
      </c>
      <c r="E203" t="s">
        <v>12</v>
      </c>
      <c r="F203" t="s">
        <v>6181</v>
      </c>
      <c r="G20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03">
        <f>Payment_Dataset[[#This Row],[Total Amount]]-Payment_Dataset[[#This Row],[Amount_Paid]]</f>
        <v>14100</v>
      </c>
      <c r="I203">
        <v>0</v>
      </c>
      <c r="J203">
        <v>14100</v>
      </c>
      <c r="K203">
        <v>14100</v>
      </c>
      <c r="L203" t="s">
        <v>4796</v>
      </c>
      <c r="M203" t="s">
        <v>5194</v>
      </c>
    </row>
    <row r="204" spans="1:13" x14ac:dyDescent="0.3">
      <c r="A204" t="s">
        <v>5195</v>
      </c>
      <c r="B204" t="s">
        <v>504</v>
      </c>
      <c r="C204" t="s">
        <v>1677</v>
      </c>
      <c r="D204" s="1">
        <v>46066</v>
      </c>
      <c r="E204" t="s">
        <v>12</v>
      </c>
      <c r="F204" t="s">
        <v>6181</v>
      </c>
      <c r="G20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04">
        <f>Payment_Dataset[[#This Row],[Total Amount]]-Payment_Dataset[[#This Row],[Amount_Paid]]</f>
        <v>39000</v>
      </c>
      <c r="I204">
        <v>0</v>
      </c>
      <c r="J204">
        <v>39000</v>
      </c>
      <c r="K204">
        <v>39000</v>
      </c>
      <c r="L204" t="s">
        <v>4787</v>
      </c>
      <c r="M204" t="s">
        <v>5196</v>
      </c>
    </row>
    <row r="205" spans="1:13" x14ac:dyDescent="0.3">
      <c r="A205" t="s">
        <v>5197</v>
      </c>
      <c r="B205" t="s">
        <v>506</v>
      </c>
      <c r="C205" t="s">
        <v>4206</v>
      </c>
      <c r="D205" s="1">
        <v>46081</v>
      </c>
      <c r="E205" t="s">
        <v>38</v>
      </c>
      <c r="F205" t="s">
        <v>6180</v>
      </c>
      <c r="G20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38400</v>
      </c>
      <c r="H205">
        <f>Payment_Dataset[[#This Row],[Total Amount]]-Payment_Dataset[[#This Row],[Amount_Paid]]</f>
        <v>0</v>
      </c>
      <c r="I205">
        <v>38400</v>
      </c>
      <c r="J205">
        <v>0</v>
      </c>
      <c r="K205">
        <v>38400</v>
      </c>
      <c r="L205" t="s">
        <v>4799</v>
      </c>
      <c r="M205" t="s">
        <v>5198</v>
      </c>
    </row>
    <row r="206" spans="1:13" x14ac:dyDescent="0.3">
      <c r="A206" t="s">
        <v>5199</v>
      </c>
      <c r="B206" t="s">
        <v>508</v>
      </c>
      <c r="C206" t="s">
        <v>445</v>
      </c>
      <c r="D206" s="1">
        <v>46088</v>
      </c>
      <c r="E206" t="s">
        <v>38</v>
      </c>
      <c r="F206" t="s">
        <v>6180</v>
      </c>
      <c r="G20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31000</v>
      </c>
      <c r="H206">
        <f>Payment_Dataset[[#This Row],[Total Amount]]-Payment_Dataset[[#This Row],[Amount_Paid]]</f>
        <v>0</v>
      </c>
      <c r="I206">
        <v>31000</v>
      </c>
      <c r="J206">
        <v>0</v>
      </c>
      <c r="K206">
        <v>31000</v>
      </c>
      <c r="L206" t="s">
        <v>4793</v>
      </c>
      <c r="M206" t="s">
        <v>5200</v>
      </c>
    </row>
    <row r="207" spans="1:13" x14ac:dyDescent="0.3">
      <c r="A207" t="s">
        <v>5201</v>
      </c>
      <c r="B207" t="s">
        <v>510</v>
      </c>
      <c r="C207" t="s">
        <v>3911</v>
      </c>
      <c r="D207" s="1">
        <v>46116</v>
      </c>
      <c r="E207" t="s">
        <v>12</v>
      </c>
      <c r="F207" t="s">
        <v>6181</v>
      </c>
      <c r="G20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07">
        <f>Payment_Dataset[[#This Row],[Total Amount]]-Payment_Dataset[[#This Row],[Amount_Paid]]</f>
        <v>14000</v>
      </c>
      <c r="I207">
        <v>0</v>
      </c>
      <c r="J207">
        <v>14000</v>
      </c>
      <c r="K207">
        <v>14000</v>
      </c>
      <c r="L207" t="s">
        <v>4799</v>
      </c>
      <c r="M207" t="s">
        <v>5202</v>
      </c>
    </row>
    <row r="208" spans="1:13" x14ac:dyDescent="0.3">
      <c r="A208" t="s">
        <v>5203</v>
      </c>
      <c r="B208" t="s">
        <v>512</v>
      </c>
      <c r="C208" t="s">
        <v>4454</v>
      </c>
      <c r="D208" s="1">
        <v>46139</v>
      </c>
      <c r="E208" t="s">
        <v>38</v>
      </c>
      <c r="F208" t="s">
        <v>6180</v>
      </c>
      <c r="G20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15400</v>
      </c>
      <c r="H208">
        <f>Payment_Dataset[[#This Row],[Total Amount]]-Payment_Dataset[[#This Row],[Amount_Paid]]</f>
        <v>0</v>
      </c>
      <c r="I208">
        <v>15400</v>
      </c>
      <c r="J208">
        <v>0</v>
      </c>
      <c r="K208">
        <v>15400</v>
      </c>
      <c r="L208" t="s">
        <v>4787</v>
      </c>
      <c r="M208" t="s">
        <v>5204</v>
      </c>
    </row>
    <row r="209" spans="1:13" x14ac:dyDescent="0.3">
      <c r="A209" t="s">
        <v>5205</v>
      </c>
      <c r="B209" t="s">
        <v>514</v>
      </c>
      <c r="C209" t="s">
        <v>2585</v>
      </c>
      <c r="D209" s="1">
        <v>46089</v>
      </c>
      <c r="E209" t="s">
        <v>12</v>
      </c>
      <c r="F209" t="s">
        <v>6181</v>
      </c>
      <c r="G20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09">
        <f>Payment_Dataset[[#This Row],[Total Amount]]-Payment_Dataset[[#This Row],[Amount_Paid]]</f>
        <v>7200</v>
      </c>
      <c r="I209">
        <v>0</v>
      </c>
      <c r="J209">
        <v>7200</v>
      </c>
      <c r="K209">
        <v>7200</v>
      </c>
      <c r="L209" t="s">
        <v>4790</v>
      </c>
      <c r="M209" t="s">
        <v>5206</v>
      </c>
    </row>
    <row r="210" spans="1:13" x14ac:dyDescent="0.3">
      <c r="A210" t="s">
        <v>5207</v>
      </c>
      <c r="B210" t="s">
        <v>516</v>
      </c>
      <c r="C210" t="s">
        <v>3583</v>
      </c>
      <c r="D210" s="1">
        <v>46132</v>
      </c>
      <c r="E210" t="s">
        <v>38</v>
      </c>
      <c r="F210" t="s">
        <v>6180</v>
      </c>
      <c r="G21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19500</v>
      </c>
      <c r="H210">
        <f>Payment_Dataset[[#This Row],[Total Amount]]-Payment_Dataset[[#This Row],[Amount_Paid]]</f>
        <v>0</v>
      </c>
      <c r="I210">
        <v>19500</v>
      </c>
      <c r="J210">
        <v>0</v>
      </c>
      <c r="K210">
        <v>19500</v>
      </c>
      <c r="L210" t="s">
        <v>4796</v>
      </c>
      <c r="M210" t="s">
        <v>5208</v>
      </c>
    </row>
    <row r="211" spans="1:13" x14ac:dyDescent="0.3">
      <c r="A211" t="s">
        <v>5209</v>
      </c>
      <c r="B211" t="s">
        <v>518</v>
      </c>
      <c r="C211" t="s">
        <v>2443</v>
      </c>
      <c r="D211" s="1">
        <v>46187</v>
      </c>
      <c r="E211" t="s">
        <v>12</v>
      </c>
      <c r="F211" t="s">
        <v>6181</v>
      </c>
      <c r="G21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11">
        <f>Payment_Dataset[[#This Row],[Total Amount]]-Payment_Dataset[[#This Row],[Amount_Paid]]</f>
        <v>28000</v>
      </c>
      <c r="I211">
        <v>0</v>
      </c>
      <c r="J211">
        <v>28000</v>
      </c>
      <c r="K211">
        <v>28000</v>
      </c>
      <c r="L211" t="s">
        <v>4799</v>
      </c>
      <c r="M211" t="s">
        <v>5210</v>
      </c>
    </row>
    <row r="212" spans="1:13" x14ac:dyDescent="0.3">
      <c r="A212" t="s">
        <v>5211</v>
      </c>
      <c r="B212" t="s">
        <v>520</v>
      </c>
      <c r="C212" t="s">
        <v>604</v>
      </c>
      <c r="D212" s="1">
        <v>46124</v>
      </c>
      <c r="E212" t="s">
        <v>38</v>
      </c>
      <c r="F212" t="s">
        <v>6180</v>
      </c>
      <c r="G21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40000</v>
      </c>
      <c r="H212">
        <f>Payment_Dataset[[#This Row],[Total Amount]]-Payment_Dataset[[#This Row],[Amount_Paid]]</f>
        <v>0</v>
      </c>
      <c r="I212">
        <v>40000</v>
      </c>
      <c r="J212">
        <v>0</v>
      </c>
      <c r="K212">
        <v>40000</v>
      </c>
      <c r="L212" t="s">
        <v>4796</v>
      </c>
      <c r="M212" t="s">
        <v>5212</v>
      </c>
    </row>
    <row r="213" spans="1:13" x14ac:dyDescent="0.3">
      <c r="A213" t="s">
        <v>5213</v>
      </c>
      <c r="B213" t="s">
        <v>522</v>
      </c>
      <c r="C213" t="s">
        <v>498</v>
      </c>
      <c r="D213" s="1">
        <v>46184</v>
      </c>
      <c r="E213" t="s">
        <v>12</v>
      </c>
      <c r="F213" t="s">
        <v>6181</v>
      </c>
      <c r="G21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13">
        <f>Payment_Dataset[[#This Row],[Total Amount]]-Payment_Dataset[[#This Row],[Amount_Paid]]</f>
        <v>13400</v>
      </c>
      <c r="I213">
        <v>0</v>
      </c>
      <c r="J213">
        <v>13400</v>
      </c>
      <c r="K213">
        <v>13400</v>
      </c>
      <c r="L213" t="s">
        <v>4787</v>
      </c>
      <c r="M213" t="s">
        <v>5214</v>
      </c>
    </row>
    <row r="214" spans="1:13" x14ac:dyDescent="0.3">
      <c r="A214" t="s">
        <v>5215</v>
      </c>
      <c r="B214" t="s">
        <v>524</v>
      </c>
      <c r="C214" t="s">
        <v>3712</v>
      </c>
      <c r="D214" s="1">
        <v>46039</v>
      </c>
      <c r="E214" t="s">
        <v>38</v>
      </c>
      <c r="F214" t="s">
        <v>6180</v>
      </c>
      <c r="G21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53900</v>
      </c>
      <c r="H214">
        <f>Payment_Dataset[[#This Row],[Total Amount]]-Payment_Dataset[[#This Row],[Amount_Paid]]</f>
        <v>0</v>
      </c>
      <c r="I214">
        <v>53900</v>
      </c>
      <c r="J214">
        <v>0</v>
      </c>
      <c r="K214">
        <v>53900</v>
      </c>
      <c r="L214" t="s">
        <v>4796</v>
      </c>
      <c r="M214" t="s">
        <v>5216</v>
      </c>
    </row>
    <row r="215" spans="1:13" x14ac:dyDescent="0.3">
      <c r="A215" t="s">
        <v>5217</v>
      </c>
      <c r="B215" t="s">
        <v>527</v>
      </c>
      <c r="C215" t="s">
        <v>4199</v>
      </c>
      <c r="D215" s="1">
        <v>46126</v>
      </c>
      <c r="E215" t="s">
        <v>12</v>
      </c>
      <c r="F215" t="s">
        <v>6181</v>
      </c>
      <c r="G21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15">
        <f>Payment_Dataset[[#This Row],[Total Amount]]-Payment_Dataset[[#This Row],[Amount_Paid]]</f>
        <v>28000</v>
      </c>
      <c r="I215">
        <v>0</v>
      </c>
      <c r="J215">
        <v>28000</v>
      </c>
      <c r="K215">
        <v>28000</v>
      </c>
      <c r="L215" t="s">
        <v>4793</v>
      </c>
      <c r="M215" t="s">
        <v>5218</v>
      </c>
    </row>
    <row r="216" spans="1:13" x14ac:dyDescent="0.3">
      <c r="A216" t="s">
        <v>5219</v>
      </c>
      <c r="B216" t="s">
        <v>529</v>
      </c>
      <c r="C216" t="s">
        <v>3059</v>
      </c>
      <c r="D216" s="1">
        <v>46125</v>
      </c>
      <c r="E216" t="s">
        <v>12</v>
      </c>
      <c r="F216" t="s">
        <v>6181</v>
      </c>
      <c r="G21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16">
        <f>Payment_Dataset[[#This Row],[Total Amount]]-Payment_Dataset[[#This Row],[Amount_Paid]]</f>
        <v>16600</v>
      </c>
      <c r="I216">
        <v>0</v>
      </c>
      <c r="J216">
        <v>16600</v>
      </c>
      <c r="K216">
        <v>16600</v>
      </c>
      <c r="L216" t="s">
        <v>4790</v>
      </c>
      <c r="M216" t="s">
        <v>5220</v>
      </c>
    </row>
    <row r="217" spans="1:13" x14ac:dyDescent="0.3">
      <c r="A217" t="s">
        <v>5221</v>
      </c>
      <c r="B217" t="s">
        <v>531</v>
      </c>
      <c r="C217" t="s">
        <v>2507</v>
      </c>
      <c r="D217" s="1">
        <v>46101</v>
      </c>
      <c r="E217" t="s">
        <v>12</v>
      </c>
      <c r="F217" t="s">
        <v>6181</v>
      </c>
      <c r="G21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17">
        <f>Payment_Dataset[[#This Row],[Total Amount]]-Payment_Dataset[[#This Row],[Amount_Paid]]</f>
        <v>21000</v>
      </c>
      <c r="I217">
        <v>0</v>
      </c>
      <c r="J217">
        <v>21000</v>
      </c>
      <c r="K217">
        <v>21000</v>
      </c>
      <c r="L217" t="s">
        <v>4796</v>
      </c>
      <c r="M217" t="s">
        <v>5222</v>
      </c>
    </row>
    <row r="218" spans="1:13" x14ac:dyDescent="0.3">
      <c r="A218" t="s">
        <v>5223</v>
      </c>
      <c r="B218" t="s">
        <v>533</v>
      </c>
      <c r="C218" t="s">
        <v>4220</v>
      </c>
      <c r="D218" s="1">
        <v>46109</v>
      </c>
      <c r="E218" t="s">
        <v>12</v>
      </c>
      <c r="F218" t="s">
        <v>6181</v>
      </c>
      <c r="G21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18">
        <f>Payment_Dataset[[#This Row],[Total Amount]]-Payment_Dataset[[#This Row],[Amount_Paid]]</f>
        <v>31200</v>
      </c>
      <c r="I218">
        <v>0</v>
      </c>
      <c r="J218">
        <v>31200</v>
      </c>
      <c r="K218">
        <v>31200</v>
      </c>
      <c r="L218" t="s">
        <v>4790</v>
      </c>
      <c r="M218" t="s">
        <v>5224</v>
      </c>
    </row>
    <row r="219" spans="1:13" x14ac:dyDescent="0.3">
      <c r="A219" t="s">
        <v>5225</v>
      </c>
      <c r="B219" t="s">
        <v>536</v>
      </c>
      <c r="C219" t="s">
        <v>391</v>
      </c>
      <c r="D219" s="1">
        <v>46135</v>
      </c>
      <c r="E219" t="s">
        <v>49</v>
      </c>
      <c r="F219" t="s">
        <v>6182</v>
      </c>
      <c r="G21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13475</v>
      </c>
      <c r="H219">
        <f>Payment_Dataset[[#This Row],[Total Amount]]-Payment_Dataset[[#This Row],[Amount_Paid]]</f>
        <v>25025</v>
      </c>
      <c r="I219">
        <v>13475</v>
      </c>
      <c r="J219">
        <v>25025</v>
      </c>
      <c r="K219">
        <v>38500</v>
      </c>
      <c r="L219" t="s">
        <v>4799</v>
      </c>
      <c r="M219" t="s">
        <v>5226</v>
      </c>
    </row>
    <row r="220" spans="1:13" x14ac:dyDescent="0.3">
      <c r="A220" t="s">
        <v>5227</v>
      </c>
      <c r="B220" t="s">
        <v>538</v>
      </c>
      <c r="C220" t="s">
        <v>2162</v>
      </c>
      <c r="D220" s="1">
        <v>46115</v>
      </c>
      <c r="E220" t="s">
        <v>12</v>
      </c>
      <c r="F220" t="s">
        <v>6181</v>
      </c>
      <c r="G22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20">
        <f>Payment_Dataset[[#This Row],[Total Amount]]-Payment_Dataset[[#This Row],[Amount_Paid]]</f>
        <v>24000</v>
      </c>
      <c r="I220">
        <v>0</v>
      </c>
      <c r="J220">
        <v>24000</v>
      </c>
      <c r="K220">
        <v>24000</v>
      </c>
      <c r="L220" t="s">
        <v>4790</v>
      </c>
      <c r="M220" t="s">
        <v>5228</v>
      </c>
    </row>
    <row r="221" spans="1:13" x14ac:dyDescent="0.3">
      <c r="A221" t="s">
        <v>5229</v>
      </c>
      <c r="B221" t="s">
        <v>540</v>
      </c>
      <c r="C221" t="s">
        <v>3971</v>
      </c>
      <c r="D221" s="1">
        <v>46147</v>
      </c>
      <c r="E221" t="s">
        <v>12</v>
      </c>
      <c r="F221" t="s">
        <v>6181</v>
      </c>
      <c r="G22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21">
        <f>Payment_Dataset[[#This Row],[Total Amount]]-Payment_Dataset[[#This Row],[Amount_Paid]]</f>
        <v>7000</v>
      </c>
      <c r="I221">
        <v>0</v>
      </c>
      <c r="J221">
        <v>7000</v>
      </c>
      <c r="K221">
        <v>7000</v>
      </c>
      <c r="L221" t="s">
        <v>4793</v>
      </c>
      <c r="M221" t="s">
        <v>5230</v>
      </c>
    </row>
    <row r="222" spans="1:13" x14ac:dyDescent="0.3">
      <c r="A222" t="s">
        <v>5231</v>
      </c>
      <c r="B222" t="s">
        <v>542</v>
      </c>
      <c r="C222" t="s">
        <v>170</v>
      </c>
      <c r="D222" s="1">
        <v>46099</v>
      </c>
      <c r="E222" t="s">
        <v>12</v>
      </c>
      <c r="F222" t="s">
        <v>6181</v>
      </c>
      <c r="G22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22">
        <f>Payment_Dataset[[#This Row],[Total Amount]]-Payment_Dataset[[#This Row],[Amount_Paid]]</f>
        <v>4000</v>
      </c>
      <c r="I222">
        <v>0</v>
      </c>
      <c r="J222">
        <v>4000</v>
      </c>
      <c r="K222">
        <v>4000</v>
      </c>
      <c r="L222" t="s">
        <v>4790</v>
      </c>
      <c r="M222" t="s">
        <v>5232</v>
      </c>
    </row>
    <row r="223" spans="1:13" x14ac:dyDescent="0.3">
      <c r="A223" t="s">
        <v>5233</v>
      </c>
      <c r="B223" t="s">
        <v>544</v>
      </c>
      <c r="C223" t="s">
        <v>3511</v>
      </c>
      <c r="D223" s="1">
        <v>46114</v>
      </c>
      <c r="E223" t="s">
        <v>38</v>
      </c>
      <c r="F223" t="s">
        <v>6180</v>
      </c>
      <c r="G22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30000</v>
      </c>
      <c r="H223">
        <f>Payment_Dataset[[#This Row],[Total Amount]]-Payment_Dataset[[#This Row],[Amount_Paid]]</f>
        <v>0</v>
      </c>
      <c r="I223">
        <v>30000</v>
      </c>
      <c r="J223">
        <v>0</v>
      </c>
      <c r="K223">
        <v>30000</v>
      </c>
      <c r="L223" t="s">
        <v>4787</v>
      </c>
      <c r="M223" t="s">
        <v>5234</v>
      </c>
    </row>
    <row r="224" spans="1:13" x14ac:dyDescent="0.3">
      <c r="A224" t="s">
        <v>5235</v>
      </c>
      <c r="B224" t="s">
        <v>546</v>
      </c>
      <c r="C224" t="s">
        <v>4226</v>
      </c>
      <c r="D224" s="1">
        <v>46093</v>
      </c>
      <c r="E224" t="s">
        <v>12</v>
      </c>
      <c r="F224" t="s">
        <v>6181</v>
      </c>
      <c r="G22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24">
        <f>Payment_Dataset[[#This Row],[Total Amount]]-Payment_Dataset[[#This Row],[Amount_Paid]]</f>
        <v>53900</v>
      </c>
      <c r="I224">
        <v>0</v>
      </c>
      <c r="J224">
        <v>53900</v>
      </c>
      <c r="K224">
        <v>53900</v>
      </c>
      <c r="L224" t="s">
        <v>4790</v>
      </c>
      <c r="M224" t="s">
        <v>5236</v>
      </c>
    </row>
    <row r="225" spans="1:13" x14ac:dyDescent="0.3">
      <c r="A225" t="s">
        <v>5237</v>
      </c>
      <c r="B225" t="s">
        <v>548</v>
      </c>
      <c r="C225" t="s">
        <v>89</v>
      </c>
      <c r="D225" s="1">
        <v>46044</v>
      </c>
      <c r="E225" t="s">
        <v>12</v>
      </c>
      <c r="F225" t="s">
        <v>6181</v>
      </c>
      <c r="G22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25">
        <f>Payment_Dataset[[#This Row],[Total Amount]]-Payment_Dataset[[#This Row],[Amount_Paid]]</f>
        <v>18800</v>
      </c>
      <c r="I225">
        <v>0</v>
      </c>
      <c r="J225">
        <v>18800</v>
      </c>
      <c r="K225">
        <v>18800</v>
      </c>
      <c r="L225" t="s">
        <v>4796</v>
      </c>
      <c r="M225" t="s">
        <v>5238</v>
      </c>
    </row>
    <row r="226" spans="1:13" x14ac:dyDescent="0.3">
      <c r="A226" t="s">
        <v>5239</v>
      </c>
      <c r="B226" t="s">
        <v>551</v>
      </c>
      <c r="C226" t="s">
        <v>345</v>
      </c>
      <c r="D226" s="1">
        <v>46089</v>
      </c>
      <c r="E226" t="s">
        <v>49</v>
      </c>
      <c r="F226" t="s">
        <v>6182</v>
      </c>
      <c r="G22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4200</v>
      </c>
      <c r="H226">
        <f>Payment_Dataset[[#This Row],[Total Amount]]-Payment_Dataset[[#This Row],[Amount_Paid]]</f>
        <v>7800</v>
      </c>
      <c r="I226">
        <v>4200</v>
      </c>
      <c r="J226">
        <v>7800</v>
      </c>
      <c r="K226">
        <v>12000</v>
      </c>
      <c r="L226" t="s">
        <v>4796</v>
      </c>
      <c r="M226" t="s">
        <v>5240</v>
      </c>
    </row>
    <row r="227" spans="1:13" x14ac:dyDescent="0.3">
      <c r="A227" t="s">
        <v>5241</v>
      </c>
      <c r="B227" t="s">
        <v>553</v>
      </c>
      <c r="C227" t="s">
        <v>384</v>
      </c>
      <c r="D227" s="1">
        <v>46116</v>
      </c>
      <c r="E227" t="s">
        <v>49</v>
      </c>
      <c r="F227" t="s">
        <v>6182</v>
      </c>
      <c r="G22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16800</v>
      </c>
      <c r="H227">
        <f>Payment_Dataset[[#This Row],[Total Amount]]-Payment_Dataset[[#This Row],[Amount_Paid]]</f>
        <v>31200</v>
      </c>
      <c r="I227">
        <v>16800</v>
      </c>
      <c r="J227">
        <v>31200</v>
      </c>
      <c r="K227">
        <v>48000</v>
      </c>
      <c r="L227" t="s">
        <v>4793</v>
      </c>
      <c r="M227" t="s">
        <v>5242</v>
      </c>
    </row>
    <row r="228" spans="1:13" x14ac:dyDescent="0.3">
      <c r="A228" t="s">
        <v>5243</v>
      </c>
      <c r="B228" t="s">
        <v>555</v>
      </c>
      <c r="C228" t="s">
        <v>2922</v>
      </c>
      <c r="D228" s="1">
        <v>46137</v>
      </c>
      <c r="E228" t="s">
        <v>12</v>
      </c>
      <c r="F228" t="s">
        <v>6181</v>
      </c>
      <c r="G22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28">
        <f>Payment_Dataset[[#This Row],[Total Amount]]-Payment_Dataset[[#This Row],[Amount_Paid]]</f>
        <v>30800</v>
      </c>
      <c r="I228">
        <v>0</v>
      </c>
      <c r="J228">
        <v>30800</v>
      </c>
      <c r="K228">
        <v>30800</v>
      </c>
      <c r="L228" t="s">
        <v>4796</v>
      </c>
      <c r="M228" t="s">
        <v>5244</v>
      </c>
    </row>
    <row r="229" spans="1:13" x14ac:dyDescent="0.3">
      <c r="A229" t="s">
        <v>5245</v>
      </c>
      <c r="B229" t="s">
        <v>557</v>
      </c>
      <c r="C229" t="s">
        <v>2385</v>
      </c>
      <c r="D229" s="1">
        <v>46177</v>
      </c>
      <c r="E229" t="s">
        <v>38</v>
      </c>
      <c r="F229" t="s">
        <v>6180</v>
      </c>
      <c r="G22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14000</v>
      </c>
      <c r="H229">
        <f>Payment_Dataset[[#This Row],[Total Amount]]-Payment_Dataset[[#This Row],[Amount_Paid]]</f>
        <v>0</v>
      </c>
      <c r="I229">
        <v>14000</v>
      </c>
      <c r="J229">
        <v>0</v>
      </c>
      <c r="K229">
        <v>14000</v>
      </c>
      <c r="L229" t="s">
        <v>4787</v>
      </c>
      <c r="M229" t="s">
        <v>5246</v>
      </c>
    </row>
    <row r="230" spans="1:13" x14ac:dyDescent="0.3">
      <c r="A230" t="s">
        <v>5247</v>
      </c>
      <c r="B230" t="s">
        <v>559</v>
      </c>
      <c r="C230" t="s">
        <v>545</v>
      </c>
      <c r="D230" s="1">
        <v>46076</v>
      </c>
      <c r="E230" t="s">
        <v>49</v>
      </c>
      <c r="F230" t="s">
        <v>6182</v>
      </c>
      <c r="G23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2800</v>
      </c>
      <c r="H230">
        <f>Payment_Dataset[[#This Row],[Total Amount]]-Payment_Dataset[[#This Row],[Amount_Paid]]</f>
        <v>5200</v>
      </c>
      <c r="I230">
        <v>2800</v>
      </c>
      <c r="J230">
        <v>5200</v>
      </c>
      <c r="K230">
        <v>8000</v>
      </c>
      <c r="L230" t="s">
        <v>4793</v>
      </c>
      <c r="M230" t="s">
        <v>5248</v>
      </c>
    </row>
    <row r="231" spans="1:13" x14ac:dyDescent="0.3">
      <c r="A231" t="s">
        <v>5249</v>
      </c>
      <c r="B231" t="s">
        <v>561</v>
      </c>
      <c r="C231" t="s">
        <v>2651</v>
      </c>
      <c r="D231" s="1">
        <v>46178</v>
      </c>
      <c r="E231" t="s">
        <v>76</v>
      </c>
      <c r="F231" t="s">
        <v>6183</v>
      </c>
      <c r="G23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31">
        <f>Payment_Dataset[[#This Row],[Total Amount]]-Payment_Dataset[[#This Row],[Amount_Paid]]</f>
        <v>0</v>
      </c>
      <c r="I231">
        <v>0</v>
      </c>
      <c r="J231">
        <v>0</v>
      </c>
      <c r="K231">
        <v>0</v>
      </c>
      <c r="L231" t="s">
        <v>6178</v>
      </c>
      <c r="M231" t="s">
        <v>5250</v>
      </c>
    </row>
    <row r="232" spans="1:13" x14ac:dyDescent="0.3">
      <c r="A232" t="s">
        <v>5251</v>
      </c>
      <c r="B232" t="s">
        <v>563</v>
      </c>
      <c r="C232" t="s">
        <v>4450</v>
      </c>
      <c r="D232" s="1">
        <v>46057</v>
      </c>
      <c r="E232" t="s">
        <v>12</v>
      </c>
      <c r="F232" t="s">
        <v>6181</v>
      </c>
      <c r="G23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32">
        <f>Payment_Dataset[[#This Row],[Total Amount]]-Payment_Dataset[[#This Row],[Amount_Paid]]</f>
        <v>31200</v>
      </c>
      <c r="I232">
        <v>0</v>
      </c>
      <c r="J232">
        <v>31200</v>
      </c>
      <c r="K232">
        <v>31200</v>
      </c>
      <c r="L232" t="s">
        <v>4799</v>
      </c>
      <c r="M232" t="s">
        <v>5252</v>
      </c>
    </row>
    <row r="233" spans="1:13" x14ac:dyDescent="0.3">
      <c r="A233" t="s">
        <v>5253</v>
      </c>
      <c r="B233" t="s">
        <v>565</v>
      </c>
      <c r="C233" t="s">
        <v>2509</v>
      </c>
      <c r="D233" s="1">
        <v>46191</v>
      </c>
      <c r="E233" t="s">
        <v>38</v>
      </c>
      <c r="F233" t="s">
        <v>6180</v>
      </c>
      <c r="G23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32900</v>
      </c>
      <c r="H233">
        <f>Payment_Dataset[[#This Row],[Total Amount]]-Payment_Dataset[[#This Row],[Amount_Paid]]</f>
        <v>0</v>
      </c>
      <c r="I233">
        <v>32900</v>
      </c>
      <c r="J233">
        <v>0</v>
      </c>
      <c r="K233">
        <v>32900</v>
      </c>
      <c r="L233" t="s">
        <v>4796</v>
      </c>
      <c r="M233" t="s">
        <v>5254</v>
      </c>
    </row>
    <row r="234" spans="1:13" x14ac:dyDescent="0.3">
      <c r="A234" t="s">
        <v>5255</v>
      </c>
      <c r="B234" t="s">
        <v>567</v>
      </c>
      <c r="C234" t="s">
        <v>2661</v>
      </c>
      <c r="D234" s="1">
        <v>46112</v>
      </c>
      <c r="E234" t="s">
        <v>12</v>
      </c>
      <c r="F234" t="s">
        <v>6181</v>
      </c>
      <c r="G23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34">
        <f>Payment_Dataset[[#This Row],[Total Amount]]-Payment_Dataset[[#This Row],[Amount_Paid]]</f>
        <v>18600</v>
      </c>
      <c r="I234">
        <v>0</v>
      </c>
      <c r="J234">
        <v>18600</v>
      </c>
      <c r="K234">
        <v>18600</v>
      </c>
      <c r="L234" t="s">
        <v>4796</v>
      </c>
      <c r="M234" t="s">
        <v>5256</v>
      </c>
    </row>
    <row r="235" spans="1:13" x14ac:dyDescent="0.3">
      <c r="A235" t="s">
        <v>5257</v>
      </c>
      <c r="B235" t="s">
        <v>569</v>
      </c>
      <c r="C235" t="s">
        <v>2477</v>
      </c>
      <c r="D235" s="1">
        <v>46056</v>
      </c>
      <c r="E235" t="s">
        <v>12</v>
      </c>
      <c r="F235" t="s">
        <v>6181</v>
      </c>
      <c r="G23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35">
        <f>Payment_Dataset[[#This Row],[Total Amount]]-Payment_Dataset[[#This Row],[Amount_Paid]]</f>
        <v>3500</v>
      </c>
      <c r="I235">
        <v>0</v>
      </c>
      <c r="J235">
        <v>3500</v>
      </c>
      <c r="K235">
        <v>3500</v>
      </c>
      <c r="L235" t="s">
        <v>4790</v>
      </c>
      <c r="M235" t="s">
        <v>5258</v>
      </c>
    </row>
    <row r="236" spans="1:13" x14ac:dyDescent="0.3">
      <c r="A236" t="s">
        <v>5259</v>
      </c>
      <c r="B236" t="s">
        <v>571</v>
      </c>
      <c r="C236" t="s">
        <v>3377</v>
      </c>
      <c r="D236" s="1">
        <v>46042</v>
      </c>
      <c r="E236" t="s">
        <v>49</v>
      </c>
      <c r="F236" t="s">
        <v>6182</v>
      </c>
      <c r="G23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2695</v>
      </c>
      <c r="H236">
        <f>Payment_Dataset[[#This Row],[Total Amount]]-Payment_Dataset[[#This Row],[Amount_Paid]]</f>
        <v>5005</v>
      </c>
      <c r="I236">
        <v>2695</v>
      </c>
      <c r="J236">
        <v>5005</v>
      </c>
      <c r="K236">
        <v>7700</v>
      </c>
      <c r="L236" t="s">
        <v>4790</v>
      </c>
      <c r="M236" t="s">
        <v>5260</v>
      </c>
    </row>
    <row r="237" spans="1:13" x14ac:dyDescent="0.3">
      <c r="A237" t="s">
        <v>5261</v>
      </c>
      <c r="B237" t="s">
        <v>573</v>
      </c>
      <c r="C237" t="s">
        <v>4120</v>
      </c>
      <c r="D237" s="1">
        <v>46117</v>
      </c>
      <c r="E237" t="s">
        <v>12</v>
      </c>
      <c r="F237" t="s">
        <v>6181</v>
      </c>
      <c r="G23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37">
        <f>Payment_Dataset[[#This Row],[Total Amount]]-Payment_Dataset[[#This Row],[Amount_Paid]]</f>
        <v>30000</v>
      </c>
      <c r="I237">
        <v>0</v>
      </c>
      <c r="J237">
        <v>30000</v>
      </c>
      <c r="K237">
        <v>30000</v>
      </c>
      <c r="L237" t="s">
        <v>4790</v>
      </c>
      <c r="M237" t="s">
        <v>5262</v>
      </c>
    </row>
    <row r="238" spans="1:13" x14ac:dyDescent="0.3">
      <c r="A238" t="s">
        <v>5263</v>
      </c>
      <c r="B238" t="s">
        <v>575</v>
      </c>
      <c r="C238" t="s">
        <v>4342</v>
      </c>
      <c r="D238" s="1">
        <v>46194</v>
      </c>
      <c r="E238" t="s">
        <v>12</v>
      </c>
      <c r="F238" t="s">
        <v>6181</v>
      </c>
      <c r="G23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38">
        <f>Payment_Dataset[[#This Row],[Total Amount]]-Payment_Dataset[[#This Row],[Amount_Paid]]</f>
        <v>17500</v>
      </c>
      <c r="I238">
        <v>0</v>
      </c>
      <c r="J238">
        <v>17500</v>
      </c>
      <c r="K238">
        <v>17500</v>
      </c>
      <c r="L238" t="s">
        <v>4790</v>
      </c>
      <c r="M238" t="s">
        <v>5264</v>
      </c>
    </row>
    <row r="239" spans="1:13" x14ac:dyDescent="0.3">
      <c r="A239" t="s">
        <v>5265</v>
      </c>
      <c r="B239" t="s">
        <v>577</v>
      </c>
      <c r="C239" t="s">
        <v>3266</v>
      </c>
      <c r="D239" s="1">
        <v>46121</v>
      </c>
      <c r="E239" t="s">
        <v>38</v>
      </c>
      <c r="F239" t="s">
        <v>6180</v>
      </c>
      <c r="G23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31200</v>
      </c>
      <c r="H239">
        <f>Payment_Dataset[[#This Row],[Total Amount]]-Payment_Dataset[[#This Row],[Amount_Paid]]</f>
        <v>0</v>
      </c>
      <c r="I239">
        <v>31200</v>
      </c>
      <c r="J239">
        <v>0</v>
      </c>
      <c r="K239">
        <v>31200</v>
      </c>
      <c r="L239" t="s">
        <v>4796</v>
      </c>
      <c r="M239" t="s">
        <v>5266</v>
      </c>
    </row>
    <row r="240" spans="1:13" x14ac:dyDescent="0.3">
      <c r="A240" t="s">
        <v>5267</v>
      </c>
      <c r="B240" t="s">
        <v>579</v>
      </c>
      <c r="C240" t="s">
        <v>4417</v>
      </c>
      <c r="D240" s="1">
        <v>46117</v>
      </c>
      <c r="E240" t="s">
        <v>38</v>
      </c>
      <c r="F240" t="s">
        <v>6180</v>
      </c>
      <c r="G24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39000</v>
      </c>
      <c r="H240">
        <f>Payment_Dataset[[#This Row],[Total Amount]]-Payment_Dataset[[#This Row],[Amount_Paid]]</f>
        <v>0</v>
      </c>
      <c r="I240">
        <v>39000</v>
      </c>
      <c r="J240">
        <v>0</v>
      </c>
      <c r="K240">
        <v>39000</v>
      </c>
      <c r="L240" t="s">
        <v>4787</v>
      </c>
      <c r="M240" t="s">
        <v>5268</v>
      </c>
    </row>
    <row r="241" spans="1:13" x14ac:dyDescent="0.3">
      <c r="A241" t="s">
        <v>5269</v>
      </c>
      <c r="B241" t="s">
        <v>581</v>
      </c>
      <c r="C241" t="s">
        <v>3283</v>
      </c>
      <c r="D241" s="1">
        <v>46158</v>
      </c>
      <c r="E241" t="s">
        <v>38</v>
      </c>
      <c r="F241" t="s">
        <v>6180</v>
      </c>
      <c r="G24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37800</v>
      </c>
      <c r="H241">
        <f>Payment_Dataset[[#This Row],[Total Amount]]-Payment_Dataset[[#This Row],[Amount_Paid]]</f>
        <v>0</v>
      </c>
      <c r="I241">
        <v>37800</v>
      </c>
      <c r="J241">
        <v>0</v>
      </c>
      <c r="K241">
        <v>37800</v>
      </c>
      <c r="L241" t="s">
        <v>4790</v>
      </c>
      <c r="M241" t="s">
        <v>5270</v>
      </c>
    </row>
    <row r="242" spans="1:13" x14ac:dyDescent="0.3">
      <c r="A242" t="s">
        <v>5271</v>
      </c>
      <c r="B242" t="s">
        <v>584</v>
      </c>
      <c r="C242" t="s">
        <v>129</v>
      </c>
      <c r="D242" s="1">
        <v>46130</v>
      </c>
      <c r="E242" t="s">
        <v>12</v>
      </c>
      <c r="F242" t="s">
        <v>6181</v>
      </c>
      <c r="G24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42">
        <f>Payment_Dataset[[#This Row],[Total Amount]]-Payment_Dataset[[#This Row],[Amount_Paid]]</f>
        <v>23500</v>
      </c>
      <c r="I242">
        <v>0</v>
      </c>
      <c r="J242">
        <v>23500</v>
      </c>
      <c r="K242">
        <v>23500</v>
      </c>
      <c r="L242" t="s">
        <v>4793</v>
      </c>
      <c r="M242" t="s">
        <v>5272</v>
      </c>
    </row>
    <row r="243" spans="1:13" x14ac:dyDescent="0.3">
      <c r="A243" t="s">
        <v>5273</v>
      </c>
      <c r="B243" t="s">
        <v>586</v>
      </c>
      <c r="C243" t="s">
        <v>4105</v>
      </c>
      <c r="D243" s="1">
        <v>46194</v>
      </c>
      <c r="E243" t="s">
        <v>38</v>
      </c>
      <c r="F243" t="s">
        <v>6180</v>
      </c>
      <c r="G24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3500</v>
      </c>
      <c r="H243">
        <f>Payment_Dataset[[#This Row],[Total Amount]]-Payment_Dataset[[#This Row],[Amount_Paid]]</f>
        <v>0</v>
      </c>
      <c r="I243">
        <v>3500</v>
      </c>
      <c r="J243">
        <v>0</v>
      </c>
      <c r="K243">
        <v>3500</v>
      </c>
      <c r="L243" t="s">
        <v>4787</v>
      </c>
      <c r="M243" t="s">
        <v>5274</v>
      </c>
    </row>
    <row r="244" spans="1:13" x14ac:dyDescent="0.3">
      <c r="A244" t="s">
        <v>5275</v>
      </c>
      <c r="B244" t="s">
        <v>588</v>
      </c>
      <c r="C244" t="s">
        <v>3959</v>
      </c>
      <c r="D244" s="1">
        <v>46057</v>
      </c>
      <c r="E244" t="s">
        <v>38</v>
      </c>
      <c r="F244" t="s">
        <v>6180</v>
      </c>
      <c r="G24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28200</v>
      </c>
      <c r="H244">
        <f>Payment_Dataset[[#This Row],[Total Amount]]-Payment_Dataset[[#This Row],[Amount_Paid]]</f>
        <v>0</v>
      </c>
      <c r="I244">
        <v>28200</v>
      </c>
      <c r="J244">
        <v>0</v>
      </c>
      <c r="K244">
        <v>28200</v>
      </c>
      <c r="L244" t="s">
        <v>4796</v>
      </c>
      <c r="M244" t="s">
        <v>5276</v>
      </c>
    </row>
    <row r="245" spans="1:13" x14ac:dyDescent="0.3">
      <c r="A245" t="s">
        <v>5277</v>
      </c>
      <c r="B245" t="s">
        <v>590</v>
      </c>
      <c r="C245" t="s">
        <v>3821</v>
      </c>
      <c r="D245" s="1">
        <v>46145</v>
      </c>
      <c r="E245" t="s">
        <v>38</v>
      </c>
      <c r="F245" t="s">
        <v>6180</v>
      </c>
      <c r="G24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21000</v>
      </c>
      <c r="H245">
        <f>Payment_Dataset[[#This Row],[Total Amount]]-Payment_Dataset[[#This Row],[Amount_Paid]]</f>
        <v>0</v>
      </c>
      <c r="I245">
        <v>21000</v>
      </c>
      <c r="J245">
        <v>0</v>
      </c>
      <c r="K245">
        <v>21000</v>
      </c>
      <c r="L245" t="s">
        <v>4790</v>
      </c>
      <c r="M245" t="s">
        <v>5278</v>
      </c>
    </row>
    <row r="246" spans="1:13" x14ac:dyDescent="0.3">
      <c r="A246" t="s">
        <v>5279</v>
      </c>
      <c r="B246" t="s">
        <v>592</v>
      </c>
      <c r="C246" t="s">
        <v>4331</v>
      </c>
      <c r="D246" s="1">
        <v>46132</v>
      </c>
      <c r="E246" t="s">
        <v>12</v>
      </c>
      <c r="F246" t="s">
        <v>6181</v>
      </c>
      <c r="G24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46">
        <f>Payment_Dataset[[#This Row],[Total Amount]]-Payment_Dataset[[#This Row],[Amount_Paid]]</f>
        <v>31200</v>
      </c>
      <c r="I246">
        <v>0</v>
      </c>
      <c r="J246">
        <v>31200</v>
      </c>
      <c r="K246">
        <v>31200</v>
      </c>
      <c r="L246" t="s">
        <v>4799</v>
      </c>
      <c r="M246" t="s">
        <v>5280</v>
      </c>
    </row>
    <row r="247" spans="1:13" x14ac:dyDescent="0.3">
      <c r="A247" t="s">
        <v>5281</v>
      </c>
      <c r="B247" t="s">
        <v>595</v>
      </c>
      <c r="C247" t="s">
        <v>690</v>
      </c>
      <c r="D247" s="1">
        <v>46035</v>
      </c>
      <c r="E247" t="s">
        <v>38</v>
      </c>
      <c r="F247" t="s">
        <v>6180</v>
      </c>
      <c r="G24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12400</v>
      </c>
      <c r="H247">
        <f>Payment_Dataset[[#This Row],[Total Amount]]-Payment_Dataset[[#This Row],[Amount_Paid]]</f>
        <v>0</v>
      </c>
      <c r="I247">
        <v>12400</v>
      </c>
      <c r="J247">
        <v>0</v>
      </c>
      <c r="K247">
        <v>12400</v>
      </c>
      <c r="L247" t="s">
        <v>4796</v>
      </c>
      <c r="M247" t="s">
        <v>5282</v>
      </c>
    </row>
    <row r="248" spans="1:13" x14ac:dyDescent="0.3">
      <c r="A248" t="s">
        <v>5283</v>
      </c>
      <c r="B248" t="s">
        <v>597</v>
      </c>
      <c r="C248" t="s">
        <v>3434</v>
      </c>
      <c r="D248" s="1">
        <v>46126</v>
      </c>
      <c r="E248" t="s">
        <v>12</v>
      </c>
      <c r="F248" t="s">
        <v>6181</v>
      </c>
      <c r="G24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48">
        <f>Payment_Dataset[[#This Row],[Total Amount]]-Payment_Dataset[[#This Row],[Amount_Paid]]</f>
        <v>23100</v>
      </c>
      <c r="I248">
        <v>0</v>
      </c>
      <c r="J248">
        <v>23100</v>
      </c>
      <c r="K248">
        <v>23100</v>
      </c>
      <c r="L248" t="s">
        <v>4790</v>
      </c>
      <c r="M248" t="s">
        <v>5284</v>
      </c>
    </row>
    <row r="249" spans="1:13" x14ac:dyDescent="0.3">
      <c r="A249" t="s">
        <v>5285</v>
      </c>
      <c r="B249" t="s">
        <v>599</v>
      </c>
      <c r="C249" t="s">
        <v>3744</v>
      </c>
      <c r="D249" s="1">
        <v>46073</v>
      </c>
      <c r="E249" t="s">
        <v>49</v>
      </c>
      <c r="F249" t="s">
        <v>6182</v>
      </c>
      <c r="G24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6160</v>
      </c>
      <c r="H249">
        <f>Payment_Dataset[[#This Row],[Total Amount]]-Payment_Dataset[[#This Row],[Amount_Paid]]</f>
        <v>11440</v>
      </c>
      <c r="I249">
        <v>6160</v>
      </c>
      <c r="J249">
        <v>11440</v>
      </c>
      <c r="K249">
        <v>17600</v>
      </c>
      <c r="L249" t="s">
        <v>4790</v>
      </c>
      <c r="M249" t="s">
        <v>5286</v>
      </c>
    </row>
    <row r="250" spans="1:13" x14ac:dyDescent="0.3">
      <c r="A250" t="s">
        <v>5287</v>
      </c>
      <c r="B250" t="s">
        <v>601</v>
      </c>
      <c r="C250" t="s">
        <v>3843</v>
      </c>
      <c r="D250" s="1">
        <v>46157</v>
      </c>
      <c r="E250" t="s">
        <v>12</v>
      </c>
      <c r="F250" t="s">
        <v>6181</v>
      </c>
      <c r="G25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50">
        <f>Payment_Dataset[[#This Row],[Total Amount]]-Payment_Dataset[[#This Row],[Amount_Paid]]</f>
        <v>8400</v>
      </c>
      <c r="I250">
        <v>0</v>
      </c>
      <c r="J250">
        <v>8400</v>
      </c>
      <c r="K250">
        <v>8400</v>
      </c>
      <c r="L250" t="s">
        <v>4790</v>
      </c>
      <c r="M250" t="s">
        <v>5288</v>
      </c>
    </row>
    <row r="251" spans="1:13" x14ac:dyDescent="0.3">
      <c r="A251" t="s">
        <v>5289</v>
      </c>
      <c r="B251" t="s">
        <v>603</v>
      </c>
      <c r="C251" t="s">
        <v>2951</v>
      </c>
      <c r="D251" s="1">
        <v>46156</v>
      </c>
      <c r="E251" t="s">
        <v>12</v>
      </c>
      <c r="F251" t="s">
        <v>6181</v>
      </c>
      <c r="G25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51">
        <f>Payment_Dataset[[#This Row],[Total Amount]]-Payment_Dataset[[#This Row],[Amount_Paid]]</f>
        <v>33600</v>
      </c>
      <c r="I251">
        <v>0</v>
      </c>
      <c r="J251">
        <v>33600</v>
      </c>
      <c r="K251">
        <v>33600</v>
      </c>
      <c r="L251" t="s">
        <v>4799</v>
      </c>
      <c r="M251" t="s">
        <v>5290</v>
      </c>
    </row>
    <row r="252" spans="1:13" x14ac:dyDescent="0.3">
      <c r="A252" t="s">
        <v>5291</v>
      </c>
      <c r="B252" t="s">
        <v>605</v>
      </c>
      <c r="C252" t="s">
        <v>4321</v>
      </c>
      <c r="D252" s="1">
        <v>46060</v>
      </c>
      <c r="E252" t="s">
        <v>12</v>
      </c>
      <c r="F252" t="s">
        <v>6181</v>
      </c>
      <c r="G25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52">
        <f>Payment_Dataset[[#This Row],[Total Amount]]-Payment_Dataset[[#This Row],[Amount_Paid]]</f>
        <v>18000</v>
      </c>
      <c r="I252">
        <v>0</v>
      </c>
      <c r="J252">
        <v>18000</v>
      </c>
      <c r="K252">
        <v>18000</v>
      </c>
      <c r="L252" t="s">
        <v>4796</v>
      </c>
      <c r="M252" t="s">
        <v>5292</v>
      </c>
    </row>
    <row r="253" spans="1:13" x14ac:dyDescent="0.3">
      <c r="A253" t="s">
        <v>5293</v>
      </c>
      <c r="B253" t="s">
        <v>607</v>
      </c>
      <c r="C253" t="s">
        <v>916</v>
      </c>
      <c r="D253" s="1">
        <v>46190</v>
      </c>
      <c r="E253" t="s">
        <v>38</v>
      </c>
      <c r="F253" t="s">
        <v>6180</v>
      </c>
      <c r="G25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28000</v>
      </c>
      <c r="H253">
        <f>Payment_Dataset[[#This Row],[Total Amount]]-Payment_Dataset[[#This Row],[Amount_Paid]]</f>
        <v>0</v>
      </c>
      <c r="I253">
        <v>28000</v>
      </c>
      <c r="J253">
        <v>0</v>
      </c>
      <c r="K253">
        <v>28000</v>
      </c>
      <c r="L253" t="s">
        <v>4787</v>
      </c>
      <c r="M253" t="s">
        <v>5294</v>
      </c>
    </row>
    <row r="254" spans="1:13" x14ac:dyDescent="0.3">
      <c r="A254" t="s">
        <v>5295</v>
      </c>
      <c r="B254" t="s">
        <v>609</v>
      </c>
      <c r="C254" t="s">
        <v>2013</v>
      </c>
      <c r="D254" s="1">
        <v>46156</v>
      </c>
      <c r="E254" t="s">
        <v>12</v>
      </c>
      <c r="F254" t="s">
        <v>6181</v>
      </c>
      <c r="G25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54">
        <f>Payment_Dataset[[#This Row],[Total Amount]]-Payment_Dataset[[#This Row],[Amount_Paid]]</f>
        <v>44800</v>
      </c>
      <c r="I254">
        <v>0</v>
      </c>
      <c r="J254">
        <v>44800</v>
      </c>
      <c r="K254">
        <v>44800</v>
      </c>
      <c r="L254" t="s">
        <v>4790</v>
      </c>
      <c r="M254" t="s">
        <v>5296</v>
      </c>
    </row>
    <row r="255" spans="1:13" x14ac:dyDescent="0.3">
      <c r="A255" t="s">
        <v>5297</v>
      </c>
      <c r="B255" t="s">
        <v>611</v>
      </c>
      <c r="C255" t="s">
        <v>962</v>
      </c>
      <c r="D255" s="1">
        <v>46106</v>
      </c>
      <c r="E255" t="s">
        <v>76</v>
      </c>
      <c r="F255" t="s">
        <v>6183</v>
      </c>
      <c r="G25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55">
        <f>Payment_Dataset[[#This Row],[Total Amount]]-Payment_Dataset[[#This Row],[Amount_Paid]]</f>
        <v>0</v>
      </c>
      <c r="I255">
        <v>0</v>
      </c>
      <c r="J255">
        <v>0</v>
      </c>
      <c r="K255">
        <v>0</v>
      </c>
      <c r="L255" t="s">
        <v>6178</v>
      </c>
      <c r="M255" t="s">
        <v>5298</v>
      </c>
    </row>
    <row r="256" spans="1:13" x14ac:dyDescent="0.3">
      <c r="A256" t="s">
        <v>5299</v>
      </c>
      <c r="B256" t="s">
        <v>613</v>
      </c>
      <c r="C256" t="s">
        <v>2528</v>
      </c>
      <c r="D256" s="1">
        <v>46194</v>
      </c>
      <c r="E256" t="s">
        <v>38</v>
      </c>
      <c r="F256" t="s">
        <v>6180</v>
      </c>
      <c r="G25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25200</v>
      </c>
      <c r="H256">
        <f>Payment_Dataset[[#This Row],[Total Amount]]-Payment_Dataset[[#This Row],[Amount_Paid]]</f>
        <v>0</v>
      </c>
      <c r="I256">
        <v>25200</v>
      </c>
      <c r="J256">
        <v>0</v>
      </c>
      <c r="K256">
        <v>25200</v>
      </c>
      <c r="L256" t="s">
        <v>4799</v>
      </c>
      <c r="M256" t="s">
        <v>5300</v>
      </c>
    </row>
    <row r="257" spans="1:13" x14ac:dyDescent="0.3">
      <c r="A257" t="s">
        <v>5301</v>
      </c>
      <c r="B257" t="s">
        <v>615</v>
      </c>
      <c r="C257" t="s">
        <v>4174</v>
      </c>
      <c r="D257" s="1">
        <v>46117</v>
      </c>
      <c r="E257" t="s">
        <v>12</v>
      </c>
      <c r="F257" t="s">
        <v>6181</v>
      </c>
      <c r="G25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57">
        <f>Payment_Dataset[[#This Row],[Total Amount]]-Payment_Dataset[[#This Row],[Amount_Paid]]</f>
        <v>32900</v>
      </c>
      <c r="I257">
        <v>0</v>
      </c>
      <c r="J257">
        <v>32900</v>
      </c>
      <c r="K257">
        <v>32900</v>
      </c>
      <c r="L257" t="s">
        <v>4799</v>
      </c>
      <c r="M257" t="s">
        <v>5302</v>
      </c>
    </row>
    <row r="258" spans="1:13" x14ac:dyDescent="0.3">
      <c r="A258" t="s">
        <v>5303</v>
      </c>
      <c r="B258" t="s">
        <v>617</v>
      </c>
      <c r="C258" t="s">
        <v>4105</v>
      </c>
      <c r="D258" s="1">
        <v>46051</v>
      </c>
      <c r="E258" t="s">
        <v>12</v>
      </c>
      <c r="F258" t="s">
        <v>6181</v>
      </c>
      <c r="G25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58">
        <f>Payment_Dataset[[#This Row],[Total Amount]]-Payment_Dataset[[#This Row],[Amount_Paid]]</f>
        <v>32900</v>
      </c>
      <c r="I258">
        <v>0</v>
      </c>
      <c r="J258">
        <v>32900</v>
      </c>
      <c r="K258">
        <v>32900</v>
      </c>
      <c r="L258" t="s">
        <v>4796</v>
      </c>
      <c r="M258" t="s">
        <v>5304</v>
      </c>
    </row>
    <row r="259" spans="1:13" x14ac:dyDescent="0.3">
      <c r="A259" t="s">
        <v>5305</v>
      </c>
      <c r="B259" t="s">
        <v>619</v>
      </c>
      <c r="C259" t="s">
        <v>2149</v>
      </c>
      <c r="D259" s="1">
        <v>46093</v>
      </c>
      <c r="E259" t="s">
        <v>12</v>
      </c>
      <c r="F259" t="s">
        <v>6181</v>
      </c>
      <c r="G25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59">
        <f>Payment_Dataset[[#This Row],[Total Amount]]-Payment_Dataset[[#This Row],[Amount_Paid]]</f>
        <v>9400</v>
      </c>
      <c r="I259">
        <v>0</v>
      </c>
      <c r="J259">
        <v>9400</v>
      </c>
      <c r="K259">
        <v>9400</v>
      </c>
      <c r="L259" t="s">
        <v>4796</v>
      </c>
      <c r="M259" t="s">
        <v>5306</v>
      </c>
    </row>
    <row r="260" spans="1:13" x14ac:dyDescent="0.3">
      <c r="A260" t="s">
        <v>5307</v>
      </c>
      <c r="B260" t="s">
        <v>621</v>
      </c>
      <c r="C260" t="s">
        <v>912</v>
      </c>
      <c r="D260" s="1">
        <v>46145</v>
      </c>
      <c r="E260" t="s">
        <v>12</v>
      </c>
      <c r="F260" t="s">
        <v>6181</v>
      </c>
      <c r="G26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60">
        <f>Payment_Dataset[[#This Row],[Total Amount]]-Payment_Dataset[[#This Row],[Amount_Paid]]</f>
        <v>7000</v>
      </c>
      <c r="I260">
        <v>0</v>
      </c>
      <c r="J260">
        <v>7000</v>
      </c>
      <c r="K260">
        <v>7000</v>
      </c>
      <c r="L260" t="s">
        <v>4799</v>
      </c>
      <c r="M260" t="s">
        <v>5308</v>
      </c>
    </row>
    <row r="261" spans="1:13" x14ac:dyDescent="0.3">
      <c r="A261" t="s">
        <v>5309</v>
      </c>
      <c r="B261" t="s">
        <v>623</v>
      </c>
      <c r="C261" t="s">
        <v>2302</v>
      </c>
      <c r="D261" s="1">
        <v>46025</v>
      </c>
      <c r="E261" t="s">
        <v>12</v>
      </c>
      <c r="F261" t="s">
        <v>6181</v>
      </c>
      <c r="G26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61">
        <f>Payment_Dataset[[#This Row],[Total Amount]]-Payment_Dataset[[#This Row],[Amount_Paid]]</f>
        <v>53900</v>
      </c>
      <c r="I261">
        <v>0</v>
      </c>
      <c r="J261">
        <v>53900</v>
      </c>
      <c r="K261">
        <v>53900</v>
      </c>
      <c r="L261" t="s">
        <v>4793</v>
      </c>
      <c r="M261" t="s">
        <v>5310</v>
      </c>
    </row>
    <row r="262" spans="1:13" x14ac:dyDescent="0.3">
      <c r="A262" t="s">
        <v>5311</v>
      </c>
      <c r="B262" t="s">
        <v>625</v>
      </c>
      <c r="C262" t="s">
        <v>3947</v>
      </c>
      <c r="D262" s="1">
        <v>46118</v>
      </c>
      <c r="E262" t="s">
        <v>49</v>
      </c>
      <c r="F262" t="s">
        <v>6182</v>
      </c>
      <c r="G26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1680</v>
      </c>
      <c r="H262">
        <f>Payment_Dataset[[#This Row],[Total Amount]]-Payment_Dataset[[#This Row],[Amount_Paid]]</f>
        <v>3120</v>
      </c>
      <c r="I262">
        <v>1680</v>
      </c>
      <c r="J262">
        <v>3120</v>
      </c>
      <c r="K262">
        <v>4800</v>
      </c>
      <c r="L262" t="s">
        <v>4787</v>
      </c>
      <c r="M262" t="s">
        <v>5312</v>
      </c>
    </row>
    <row r="263" spans="1:13" x14ac:dyDescent="0.3">
      <c r="A263" t="s">
        <v>5313</v>
      </c>
      <c r="B263" t="s">
        <v>627</v>
      </c>
      <c r="C263" t="s">
        <v>719</v>
      </c>
      <c r="D263" s="1">
        <v>46063</v>
      </c>
      <c r="E263" t="s">
        <v>12</v>
      </c>
      <c r="F263" t="s">
        <v>6181</v>
      </c>
      <c r="G26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63">
        <f>Payment_Dataset[[#This Row],[Total Amount]]-Payment_Dataset[[#This Row],[Amount_Paid]]</f>
        <v>16500</v>
      </c>
      <c r="I263">
        <v>0</v>
      </c>
      <c r="J263">
        <v>16500</v>
      </c>
      <c r="K263">
        <v>16500</v>
      </c>
      <c r="L263" t="s">
        <v>4793</v>
      </c>
      <c r="M263" t="s">
        <v>5314</v>
      </c>
    </row>
    <row r="264" spans="1:13" x14ac:dyDescent="0.3">
      <c r="A264" t="s">
        <v>5315</v>
      </c>
      <c r="B264" t="s">
        <v>629</v>
      </c>
      <c r="C264" t="s">
        <v>3377</v>
      </c>
      <c r="D264" s="1">
        <v>46081</v>
      </c>
      <c r="E264" t="s">
        <v>12</v>
      </c>
      <c r="F264" t="s">
        <v>6181</v>
      </c>
      <c r="G26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64">
        <f>Payment_Dataset[[#This Row],[Total Amount]]-Payment_Dataset[[#This Row],[Amount_Paid]]</f>
        <v>33500</v>
      </c>
      <c r="I264">
        <v>0</v>
      </c>
      <c r="J264">
        <v>33500</v>
      </c>
      <c r="K264">
        <v>33500</v>
      </c>
      <c r="L264" t="s">
        <v>4787</v>
      </c>
      <c r="M264" t="s">
        <v>5316</v>
      </c>
    </row>
    <row r="265" spans="1:13" x14ac:dyDescent="0.3">
      <c r="A265" t="s">
        <v>5317</v>
      </c>
      <c r="B265" t="s">
        <v>631</v>
      </c>
      <c r="C265" t="s">
        <v>384</v>
      </c>
      <c r="D265" s="1">
        <v>46069</v>
      </c>
      <c r="E265" t="s">
        <v>12</v>
      </c>
      <c r="F265" t="s">
        <v>6181</v>
      </c>
      <c r="G26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65">
        <f>Payment_Dataset[[#This Row],[Total Amount]]-Payment_Dataset[[#This Row],[Amount_Paid]]</f>
        <v>16600</v>
      </c>
      <c r="I265">
        <v>0</v>
      </c>
      <c r="J265">
        <v>16600</v>
      </c>
      <c r="K265">
        <v>16600</v>
      </c>
      <c r="L265" t="s">
        <v>4787</v>
      </c>
      <c r="M265" t="s">
        <v>5318</v>
      </c>
    </row>
    <row r="266" spans="1:13" x14ac:dyDescent="0.3">
      <c r="A266" t="s">
        <v>5319</v>
      </c>
      <c r="B266" t="s">
        <v>633</v>
      </c>
      <c r="C266" t="s">
        <v>1401</v>
      </c>
      <c r="D266" s="1">
        <v>46171</v>
      </c>
      <c r="E266" t="s">
        <v>38</v>
      </c>
      <c r="F266" t="s">
        <v>6180</v>
      </c>
      <c r="G26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21000</v>
      </c>
      <c r="H266">
        <f>Payment_Dataset[[#This Row],[Total Amount]]-Payment_Dataset[[#This Row],[Amount_Paid]]</f>
        <v>0</v>
      </c>
      <c r="I266">
        <v>21000</v>
      </c>
      <c r="J266">
        <v>0</v>
      </c>
      <c r="K266">
        <v>21000</v>
      </c>
      <c r="L266" t="s">
        <v>4793</v>
      </c>
      <c r="M266" t="s">
        <v>5320</v>
      </c>
    </row>
    <row r="267" spans="1:13" x14ac:dyDescent="0.3">
      <c r="A267" t="s">
        <v>5321</v>
      </c>
      <c r="B267" t="s">
        <v>635</v>
      </c>
      <c r="C267" t="s">
        <v>566</v>
      </c>
      <c r="D267" s="1">
        <v>46164</v>
      </c>
      <c r="E267" t="s">
        <v>12</v>
      </c>
      <c r="F267" t="s">
        <v>6181</v>
      </c>
      <c r="G26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67">
        <f>Payment_Dataset[[#This Row],[Total Amount]]-Payment_Dataset[[#This Row],[Amount_Paid]]</f>
        <v>14000</v>
      </c>
      <c r="I267">
        <v>0</v>
      </c>
      <c r="J267">
        <v>14000</v>
      </c>
      <c r="K267">
        <v>14000</v>
      </c>
      <c r="L267" t="s">
        <v>4790</v>
      </c>
      <c r="M267" t="s">
        <v>5322</v>
      </c>
    </row>
    <row r="268" spans="1:13" x14ac:dyDescent="0.3">
      <c r="A268" t="s">
        <v>5323</v>
      </c>
      <c r="B268" t="s">
        <v>637</v>
      </c>
      <c r="C268" t="s">
        <v>4087</v>
      </c>
      <c r="D268" s="1">
        <v>46158</v>
      </c>
      <c r="E268" t="s">
        <v>38</v>
      </c>
      <c r="F268" t="s">
        <v>6180</v>
      </c>
      <c r="G26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13000</v>
      </c>
      <c r="H268">
        <f>Payment_Dataset[[#This Row],[Total Amount]]-Payment_Dataset[[#This Row],[Amount_Paid]]</f>
        <v>0</v>
      </c>
      <c r="I268">
        <v>13000</v>
      </c>
      <c r="J268">
        <v>0</v>
      </c>
      <c r="K268">
        <v>13000</v>
      </c>
      <c r="L268" t="s">
        <v>4793</v>
      </c>
      <c r="M268" t="s">
        <v>5324</v>
      </c>
    </row>
    <row r="269" spans="1:13" x14ac:dyDescent="0.3">
      <c r="A269" t="s">
        <v>5325</v>
      </c>
      <c r="B269" t="s">
        <v>639</v>
      </c>
      <c r="C269" t="s">
        <v>2888</v>
      </c>
      <c r="D269" s="1">
        <v>46085</v>
      </c>
      <c r="E269" t="s">
        <v>12</v>
      </c>
      <c r="F269" t="s">
        <v>6181</v>
      </c>
      <c r="G26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69">
        <f>Payment_Dataset[[#This Row],[Total Amount]]-Payment_Dataset[[#This Row],[Amount_Paid]]</f>
        <v>20000</v>
      </c>
      <c r="I269">
        <v>0</v>
      </c>
      <c r="J269">
        <v>20000</v>
      </c>
      <c r="K269">
        <v>20000</v>
      </c>
      <c r="L269" t="s">
        <v>4796</v>
      </c>
      <c r="M269" t="s">
        <v>5326</v>
      </c>
    </row>
    <row r="270" spans="1:13" x14ac:dyDescent="0.3">
      <c r="A270" t="s">
        <v>5327</v>
      </c>
      <c r="B270" t="s">
        <v>641</v>
      </c>
      <c r="C270" t="s">
        <v>148</v>
      </c>
      <c r="D270" s="1">
        <v>46170</v>
      </c>
      <c r="E270" t="s">
        <v>38</v>
      </c>
      <c r="F270" t="s">
        <v>6180</v>
      </c>
      <c r="G27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31000</v>
      </c>
      <c r="H270">
        <f>Payment_Dataset[[#This Row],[Total Amount]]-Payment_Dataset[[#This Row],[Amount_Paid]]</f>
        <v>0</v>
      </c>
      <c r="I270">
        <v>31000</v>
      </c>
      <c r="J270">
        <v>0</v>
      </c>
      <c r="K270">
        <v>31000</v>
      </c>
      <c r="L270" t="s">
        <v>4799</v>
      </c>
      <c r="M270" t="s">
        <v>5328</v>
      </c>
    </row>
    <row r="271" spans="1:13" x14ac:dyDescent="0.3">
      <c r="A271" t="s">
        <v>5329</v>
      </c>
      <c r="B271" t="s">
        <v>643</v>
      </c>
      <c r="C271" t="s">
        <v>616</v>
      </c>
      <c r="D271" s="1">
        <v>46149</v>
      </c>
      <c r="E271" t="s">
        <v>12</v>
      </c>
      <c r="F271" t="s">
        <v>6181</v>
      </c>
      <c r="G27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71">
        <f>Payment_Dataset[[#This Row],[Total Amount]]-Payment_Dataset[[#This Row],[Amount_Paid]]</f>
        <v>30000</v>
      </c>
      <c r="I271">
        <v>0</v>
      </c>
      <c r="J271">
        <v>30000</v>
      </c>
      <c r="K271">
        <v>30000</v>
      </c>
      <c r="L271" t="s">
        <v>4793</v>
      </c>
      <c r="M271" t="s">
        <v>5330</v>
      </c>
    </row>
    <row r="272" spans="1:13" x14ac:dyDescent="0.3">
      <c r="A272" t="s">
        <v>5331</v>
      </c>
      <c r="B272" t="s">
        <v>645</v>
      </c>
      <c r="C272" t="s">
        <v>564</v>
      </c>
      <c r="D272" s="1">
        <v>46050</v>
      </c>
      <c r="E272" t="s">
        <v>12</v>
      </c>
      <c r="F272" t="s">
        <v>6181</v>
      </c>
      <c r="G27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72">
        <f>Payment_Dataset[[#This Row],[Total Amount]]-Payment_Dataset[[#This Row],[Amount_Paid]]</f>
        <v>4700</v>
      </c>
      <c r="I272">
        <v>0</v>
      </c>
      <c r="J272">
        <v>4700</v>
      </c>
      <c r="K272">
        <v>4700</v>
      </c>
      <c r="L272" t="s">
        <v>4787</v>
      </c>
      <c r="M272" t="s">
        <v>5332</v>
      </c>
    </row>
    <row r="273" spans="1:13" x14ac:dyDescent="0.3">
      <c r="A273" t="s">
        <v>5333</v>
      </c>
      <c r="B273" t="s">
        <v>647</v>
      </c>
      <c r="C273" t="s">
        <v>3279</v>
      </c>
      <c r="D273" s="1">
        <v>46107</v>
      </c>
      <c r="E273" t="s">
        <v>76</v>
      </c>
      <c r="F273" t="s">
        <v>6183</v>
      </c>
      <c r="G27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73">
        <f>Payment_Dataset[[#This Row],[Total Amount]]-Payment_Dataset[[#This Row],[Amount_Paid]]</f>
        <v>0</v>
      </c>
      <c r="I273">
        <v>0</v>
      </c>
      <c r="J273">
        <v>0</v>
      </c>
      <c r="K273">
        <v>0</v>
      </c>
      <c r="L273" t="s">
        <v>6178</v>
      </c>
      <c r="M273" t="s">
        <v>5334</v>
      </c>
    </row>
    <row r="274" spans="1:13" x14ac:dyDescent="0.3">
      <c r="A274" t="s">
        <v>5335</v>
      </c>
      <c r="B274" t="s">
        <v>649</v>
      </c>
      <c r="C274" t="s">
        <v>1012</v>
      </c>
      <c r="D274" s="1">
        <v>46177</v>
      </c>
      <c r="E274" t="s">
        <v>12</v>
      </c>
      <c r="F274" t="s">
        <v>6181</v>
      </c>
      <c r="G27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74">
        <f>Payment_Dataset[[#This Row],[Total Amount]]-Payment_Dataset[[#This Row],[Amount_Paid]]</f>
        <v>46200</v>
      </c>
      <c r="I274">
        <v>0</v>
      </c>
      <c r="J274">
        <v>46200</v>
      </c>
      <c r="K274">
        <v>46200</v>
      </c>
      <c r="L274" t="s">
        <v>4799</v>
      </c>
      <c r="M274" t="s">
        <v>5336</v>
      </c>
    </row>
    <row r="275" spans="1:13" x14ac:dyDescent="0.3">
      <c r="A275" t="s">
        <v>5337</v>
      </c>
      <c r="B275" t="s">
        <v>651</v>
      </c>
      <c r="C275" t="s">
        <v>596</v>
      </c>
      <c r="D275" s="1">
        <v>46198</v>
      </c>
      <c r="E275" t="s">
        <v>12</v>
      </c>
      <c r="F275" t="s">
        <v>6181</v>
      </c>
      <c r="G27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75">
        <f>Payment_Dataset[[#This Row],[Total Amount]]-Payment_Dataset[[#This Row],[Amount_Paid]]</f>
        <v>13000</v>
      </c>
      <c r="I275">
        <v>0</v>
      </c>
      <c r="J275">
        <v>13000</v>
      </c>
      <c r="K275">
        <v>13000</v>
      </c>
      <c r="L275" t="s">
        <v>4787</v>
      </c>
      <c r="M275" t="s">
        <v>5338</v>
      </c>
    </row>
    <row r="276" spans="1:13" x14ac:dyDescent="0.3">
      <c r="A276" t="s">
        <v>5339</v>
      </c>
      <c r="B276" t="s">
        <v>653</v>
      </c>
      <c r="C276" t="s">
        <v>3776</v>
      </c>
      <c r="D276" s="1">
        <v>46123</v>
      </c>
      <c r="E276" t="s">
        <v>12</v>
      </c>
      <c r="F276" t="s">
        <v>6181</v>
      </c>
      <c r="G27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76">
        <f>Payment_Dataset[[#This Row],[Total Amount]]-Payment_Dataset[[#This Row],[Amount_Paid]]</f>
        <v>38400</v>
      </c>
      <c r="I276">
        <v>0</v>
      </c>
      <c r="J276">
        <v>38400</v>
      </c>
      <c r="K276">
        <v>38400</v>
      </c>
      <c r="L276" t="s">
        <v>4787</v>
      </c>
      <c r="M276" t="s">
        <v>5340</v>
      </c>
    </row>
    <row r="277" spans="1:13" x14ac:dyDescent="0.3">
      <c r="A277" t="s">
        <v>5341</v>
      </c>
      <c r="B277" t="s">
        <v>655</v>
      </c>
      <c r="C277" t="s">
        <v>2074</v>
      </c>
      <c r="D277" s="1">
        <v>46206</v>
      </c>
      <c r="E277" t="s">
        <v>12</v>
      </c>
      <c r="F277" t="s">
        <v>6181</v>
      </c>
      <c r="G27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77">
        <f>Payment_Dataset[[#This Row],[Total Amount]]-Payment_Dataset[[#This Row],[Amount_Paid]]</f>
        <v>36000</v>
      </c>
      <c r="I277">
        <v>0</v>
      </c>
      <c r="J277">
        <v>36000</v>
      </c>
      <c r="K277">
        <v>36000</v>
      </c>
      <c r="L277" t="s">
        <v>4793</v>
      </c>
      <c r="M277" t="s">
        <v>5342</v>
      </c>
    </row>
    <row r="278" spans="1:13" x14ac:dyDescent="0.3">
      <c r="A278" t="s">
        <v>5343</v>
      </c>
      <c r="B278" t="s">
        <v>657</v>
      </c>
      <c r="C278" t="s">
        <v>795</v>
      </c>
      <c r="D278" s="1">
        <v>46143</v>
      </c>
      <c r="E278" t="s">
        <v>12</v>
      </c>
      <c r="F278" t="s">
        <v>6181</v>
      </c>
      <c r="G27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78">
        <f>Payment_Dataset[[#This Row],[Total Amount]]-Payment_Dataset[[#This Row],[Amount_Paid]]</f>
        <v>38500</v>
      </c>
      <c r="I278">
        <v>0</v>
      </c>
      <c r="J278">
        <v>38500</v>
      </c>
      <c r="K278">
        <v>38500</v>
      </c>
      <c r="L278" t="s">
        <v>4787</v>
      </c>
      <c r="M278" t="s">
        <v>5344</v>
      </c>
    </row>
    <row r="279" spans="1:13" x14ac:dyDescent="0.3">
      <c r="A279" t="s">
        <v>5345</v>
      </c>
      <c r="B279" t="s">
        <v>659</v>
      </c>
      <c r="C279" t="s">
        <v>962</v>
      </c>
      <c r="D279" s="1">
        <v>46075</v>
      </c>
      <c r="E279" t="s">
        <v>12</v>
      </c>
      <c r="F279" t="s">
        <v>6181</v>
      </c>
      <c r="G27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79">
        <f>Payment_Dataset[[#This Row],[Total Amount]]-Payment_Dataset[[#This Row],[Amount_Paid]]</f>
        <v>6400</v>
      </c>
      <c r="I279">
        <v>0</v>
      </c>
      <c r="J279">
        <v>6400</v>
      </c>
      <c r="K279">
        <v>6400</v>
      </c>
      <c r="L279" t="s">
        <v>4799</v>
      </c>
      <c r="M279" t="s">
        <v>5346</v>
      </c>
    </row>
    <row r="280" spans="1:13" x14ac:dyDescent="0.3">
      <c r="A280" t="s">
        <v>5347</v>
      </c>
      <c r="B280" t="s">
        <v>661</v>
      </c>
      <c r="C280" t="s">
        <v>696</v>
      </c>
      <c r="D280" s="1">
        <v>46053</v>
      </c>
      <c r="E280" t="s">
        <v>49</v>
      </c>
      <c r="F280" t="s">
        <v>6182</v>
      </c>
      <c r="G28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1994.9999999999998</v>
      </c>
      <c r="H280">
        <f>Payment_Dataset[[#This Row],[Total Amount]]-Payment_Dataset[[#This Row],[Amount_Paid]]</f>
        <v>3705</v>
      </c>
      <c r="I280">
        <v>1995</v>
      </c>
      <c r="J280">
        <v>3705</v>
      </c>
      <c r="K280">
        <v>5700</v>
      </c>
      <c r="L280" t="s">
        <v>4787</v>
      </c>
      <c r="M280" t="s">
        <v>5348</v>
      </c>
    </row>
    <row r="281" spans="1:13" x14ac:dyDescent="0.3">
      <c r="A281" t="s">
        <v>5349</v>
      </c>
      <c r="B281" t="s">
        <v>663</v>
      </c>
      <c r="C281" t="s">
        <v>2878</v>
      </c>
      <c r="D281" s="1">
        <v>46149</v>
      </c>
      <c r="E281" t="s">
        <v>38</v>
      </c>
      <c r="F281" t="s">
        <v>6180</v>
      </c>
      <c r="G28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7700</v>
      </c>
      <c r="H281">
        <f>Payment_Dataset[[#This Row],[Total Amount]]-Payment_Dataset[[#This Row],[Amount_Paid]]</f>
        <v>0</v>
      </c>
      <c r="I281">
        <v>7700</v>
      </c>
      <c r="J281">
        <v>0</v>
      </c>
      <c r="K281">
        <v>7700</v>
      </c>
      <c r="L281" t="s">
        <v>4799</v>
      </c>
      <c r="M281" t="s">
        <v>5350</v>
      </c>
    </row>
    <row r="282" spans="1:13" x14ac:dyDescent="0.3">
      <c r="A282" t="s">
        <v>5351</v>
      </c>
      <c r="B282" t="s">
        <v>665</v>
      </c>
      <c r="C282" t="s">
        <v>4417</v>
      </c>
      <c r="D282" s="1">
        <v>46090</v>
      </c>
      <c r="E282" t="s">
        <v>12</v>
      </c>
      <c r="F282" t="s">
        <v>6181</v>
      </c>
      <c r="G28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82">
        <f>Payment_Dataset[[#This Row],[Total Amount]]-Payment_Dataset[[#This Row],[Amount_Paid]]</f>
        <v>19200</v>
      </c>
      <c r="I282">
        <v>0</v>
      </c>
      <c r="J282">
        <v>19200</v>
      </c>
      <c r="K282">
        <v>19200</v>
      </c>
      <c r="L282" t="s">
        <v>4790</v>
      </c>
      <c r="M282" t="s">
        <v>5352</v>
      </c>
    </row>
    <row r="283" spans="1:13" x14ac:dyDescent="0.3">
      <c r="A283" t="s">
        <v>5353</v>
      </c>
      <c r="B283" t="s">
        <v>667</v>
      </c>
      <c r="C283" t="s">
        <v>2819</v>
      </c>
      <c r="D283" s="1">
        <v>46100</v>
      </c>
      <c r="E283" t="s">
        <v>38</v>
      </c>
      <c r="F283" t="s">
        <v>6180</v>
      </c>
      <c r="G28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12400</v>
      </c>
      <c r="H283">
        <f>Payment_Dataset[[#This Row],[Total Amount]]-Payment_Dataset[[#This Row],[Amount_Paid]]</f>
        <v>0</v>
      </c>
      <c r="I283">
        <v>12400</v>
      </c>
      <c r="J283">
        <v>0</v>
      </c>
      <c r="K283">
        <v>12400</v>
      </c>
      <c r="L283" t="s">
        <v>4793</v>
      </c>
      <c r="M283" t="s">
        <v>5354</v>
      </c>
    </row>
    <row r="284" spans="1:13" x14ac:dyDescent="0.3">
      <c r="A284" t="s">
        <v>5355</v>
      </c>
      <c r="B284" t="s">
        <v>669</v>
      </c>
      <c r="C284" t="s">
        <v>3053</v>
      </c>
      <c r="D284" s="1">
        <v>46055</v>
      </c>
      <c r="E284" t="s">
        <v>12</v>
      </c>
      <c r="F284" t="s">
        <v>6181</v>
      </c>
      <c r="G28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84">
        <f>Payment_Dataset[[#This Row],[Total Amount]]-Payment_Dataset[[#This Row],[Amount_Paid]]</f>
        <v>6900</v>
      </c>
      <c r="I284">
        <v>0</v>
      </c>
      <c r="J284">
        <v>6900</v>
      </c>
      <c r="K284">
        <v>6900</v>
      </c>
      <c r="L284" t="s">
        <v>4790</v>
      </c>
      <c r="M284" t="s">
        <v>5356</v>
      </c>
    </row>
    <row r="285" spans="1:13" x14ac:dyDescent="0.3">
      <c r="A285" t="s">
        <v>5357</v>
      </c>
      <c r="B285" t="s">
        <v>671</v>
      </c>
      <c r="C285" t="s">
        <v>2545</v>
      </c>
      <c r="D285" s="1">
        <v>46143</v>
      </c>
      <c r="E285" t="s">
        <v>38</v>
      </c>
      <c r="F285" t="s">
        <v>6180</v>
      </c>
      <c r="G28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50400</v>
      </c>
      <c r="H285">
        <f>Payment_Dataset[[#This Row],[Total Amount]]-Payment_Dataset[[#This Row],[Amount_Paid]]</f>
        <v>0</v>
      </c>
      <c r="I285">
        <v>50400</v>
      </c>
      <c r="J285">
        <v>0</v>
      </c>
      <c r="K285">
        <v>50400</v>
      </c>
      <c r="L285" t="s">
        <v>4793</v>
      </c>
      <c r="M285" t="s">
        <v>5358</v>
      </c>
    </row>
    <row r="286" spans="1:13" x14ac:dyDescent="0.3">
      <c r="A286" t="s">
        <v>5359</v>
      </c>
      <c r="B286" t="s">
        <v>673</v>
      </c>
      <c r="C286" t="s">
        <v>1152</v>
      </c>
      <c r="D286" s="1">
        <v>46166</v>
      </c>
      <c r="E286" t="s">
        <v>38</v>
      </c>
      <c r="F286" t="s">
        <v>6180</v>
      </c>
      <c r="G28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19200</v>
      </c>
      <c r="H286">
        <f>Payment_Dataset[[#This Row],[Total Amount]]-Payment_Dataset[[#This Row],[Amount_Paid]]</f>
        <v>0</v>
      </c>
      <c r="I286">
        <v>19200</v>
      </c>
      <c r="J286">
        <v>0</v>
      </c>
      <c r="K286">
        <v>19200</v>
      </c>
      <c r="L286" t="s">
        <v>4796</v>
      </c>
      <c r="M286" t="s">
        <v>5360</v>
      </c>
    </row>
    <row r="287" spans="1:13" x14ac:dyDescent="0.3">
      <c r="A287" t="s">
        <v>5361</v>
      </c>
      <c r="B287" t="s">
        <v>675</v>
      </c>
      <c r="C287" t="s">
        <v>4196</v>
      </c>
      <c r="D287" s="1">
        <v>46126</v>
      </c>
      <c r="E287" t="s">
        <v>38</v>
      </c>
      <c r="F287" t="s">
        <v>6180</v>
      </c>
      <c r="G28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32000</v>
      </c>
      <c r="H287">
        <f>Payment_Dataset[[#This Row],[Total Amount]]-Payment_Dataset[[#This Row],[Amount_Paid]]</f>
        <v>0</v>
      </c>
      <c r="I287">
        <v>32000</v>
      </c>
      <c r="J287">
        <v>0</v>
      </c>
      <c r="K287">
        <v>32000</v>
      </c>
      <c r="L287" t="s">
        <v>4799</v>
      </c>
      <c r="M287" t="s">
        <v>5362</v>
      </c>
    </row>
    <row r="288" spans="1:13" x14ac:dyDescent="0.3">
      <c r="A288" t="s">
        <v>5363</v>
      </c>
      <c r="B288" t="s">
        <v>677</v>
      </c>
      <c r="C288" t="s">
        <v>680</v>
      </c>
      <c r="D288" s="1">
        <v>46205</v>
      </c>
      <c r="E288" t="s">
        <v>49</v>
      </c>
      <c r="F288" t="s">
        <v>6182</v>
      </c>
      <c r="G28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12740</v>
      </c>
      <c r="H288">
        <f>Payment_Dataset[[#This Row],[Total Amount]]-Payment_Dataset[[#This Row],[Amount_Paid]]</f>
        <v>23660</v>
      </c>
      <c r="I288">
        <v>12740</v>
      </c>
      <c r="J288">
        <v>23660</v>
      </c>
      <c r="K288">
        <v>36400</v>
      </c>
      <c r="L288" t="s">
        <v>4793</v>
      </c>
      <c r="M288" t="s">
        <v>5364</v>
      </c>
    </row>
    <row r="289" spans="1:13" x14ac:dyDescent="0.3">
      <c r="A289" t="s">
        <v>5365</v>
      </c>
      <c r="B289" t="s">
        <v>679</v>
      </c>
      <c r="C289" t="s">
        <v>3841</v>
      </c>
      <c r="D289" s="1">
        <v>46058</v>
      </c>
      <c r="E289" t="s">
        <v>12</v>
      </c>
      <c r="F289" t="s">
        <v>6181</v>
      </c>
      <c r="G28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89">
        <f>Payment_Dataset[[#This Row],[Total Amount]]-Payment_Dataset[[#This Row],[Amount_Paid]]</f>
        <v>40200</v>
      </c>
      <c r="I289">
        <v>0</v>
      </c>
      <c r="J289">
        <v>40200</v>
      </c>
      <c r="K289">
        <v>40200</v>
      </c>
      <c r="L289" t="s">
        <v>4799</v>
      </c>
      <c r="M289" t="s">
        <v>5366</v>
      </c>
    </row>
    <row r="290" spans="1:13" x14ac:dyDescent="0.3">
      <c r="A290" t="s">
        <v>5367</v>
      </c>
      <c r="B290" t="s">
        <v>681</v>
      </c>
      <c r="C290" t="s">
        <v>3855</v>
      </c>
      <c r="D290" s="1">
        <v>46155</v>
      </c>
      <c r="E290" t="s">
        <v>12</v>
      </c>
      <c r="F290" t="s">
        <v>6181</v>
      </c>
      <c r="G29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90">
        <f>Payment_Dataset[[#This Row],[Total Amount]]-Payment_Dataset[[#This Row],[Amount_Paid]]</f>
        <v>49000</v>
      </c>
      <c r="I290">
        <v>0</v>
      </c>
      <c r="J290">
        <v>49000</v>
      </c>
      <c r="K290">
        <v>49000</v>
      </c>
      <c r="L290" t="s">
        <v>4799</v>
      </c>
      <c r="M290" t="s">
        <v>5368</v>
      </c>
    </row>
    <row r="291" spans="1:13" x14ac:dyDescent="0.3">
      <c r="A291" t="s">
        <v>5369</v>
      </c>
      <c r="B291" t="s">
        <v>683</v>
      </c>
      <c r="C291" t="s">
        <v>3669</v>
      </c>
      <c r="D291" s="1">
        <v>46029</v>
      </c>
      <c r="E291" t="s">
        <v>12</v>
      </c>
      <c r="F291" t="s">
        <v>6181</v>
      </c>
      <c r="G29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91">
        <f>Payment_Dataset[[#This Row],[Total Amount]]-Payment_Dataset[[#This Row],[Amount_Paid]]</f>
        <v>4200</v>
      </c>
      <c r="I291">
        <v>0</v>
      </c>
      <c r="J291">
        <v>4200</v>
      </c>
      <c r="K291">
        <v>4200</v>
      </c>
      <c r="L291" t="s">
        <v>4790</v>
      </c>
      <c r="M291" t="s">
        <v>5370</v>
      </c>
    </row>
    <row r="292" spans="1:13" x14ac:dyDescent="0.3">
      <c r="A292" t="s">
        <v>5371</v>
      </c>
      <c r="B292" t="s">
        <v>685</v>
      </c>
      <c r="C292" t="s">
        <v>3200</v>
      </c>
      <c r="D292" s="1">
        <v>46191</v>
      </c>
      <c r="E292" t="s">
        <v>12</v>
      </c>
      <c r="F292" t="s">
        <v>6181</v>
      </c>
      <c r="G29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92">
        <f>Payment_Dataset[[#This Row],[Total Amount]]-Payment_Dataset[[#This Row],[Amount_Paid]]</f>
        <v>25600</v>
      </c>
      <c r="I292">
        <v>0</v>
      </c>
      <c r="J292">
        <v>25600</v>
      </c>
      <c r="K292">
        <v>25600</v>
      </c>
      <c r="L292" t="s">
        <v>4793</v>
      </c>
      <c r="M292" t="s">
        <v>5372</v>
      </c>
    </row>
    <row r="293" spans="1:13" x14ac:dyDescent="0.3">
      <c r="A293" t="s">
        <v>5373</v>
      </c>
      <c r="B293" t="s">
        <v>687</v>
      </c>
      <c r="C293" t="s">
        <v>2657</v>
      </c>
      <c r="D293" s="1">
        <v>46131</v>
      </c>
      <c r="E293" t="s">
        <v>12</v>
      </c>
      <c r="F293" t="s">
        <v>6181</v>
      </c>
      <c r="G29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93">
        <f>Payment_Dataset[[#This Row],[Total Amount]]-Payment_Dataset[[#This Row],[Amount_Paid]]</f>
        <v>20000</v>
      </c>
      <c r="I293">
        <v>0</v>
      </c>
      <c r="J293">
        <v>20000</v>
      </c>
      <c r="K293">
        <v>20000</v>
      </c>
      <c r="L293" t="s">
        <v>4799</v>
      </c>
      <c r="M293" t="s">
        <v>5374</v>
      </c>
    </row>
    <row r="294" spans="1:13" x14ac:dyDescent="0.3">
      <c r="A294" t="s">
        <v>5375</v>
      </c>
      <c r="B294" t="s">
        <v>689</v>
      </c>
      <c r="C294" t="s">
        <v>2778</v>
      </c>
      <c r="D294" s="1">
        <v>46162</v>
      </c>
      <c r="E294" t="s">
        <v>12</v>
      </c>
      <c r="F294" t="s">
        <v>6181</v>
      </c>
      <c r="G29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94">
        <f>Payment_Dataset[[#This Row],[Total Amount]]-Payment_Dataset[[#This Row],[Amount_Paid]]</f>
        <v>5000</v>
      </c>
      <c r="I294">
        <v>0</v>
      </c>
      <c r="J294">
        <v>5000</v>
      </c>
      <c r="K294">
        <v>5000</v>
      </c>
      <c r="L294" t="s">
        <v>4796</v>
      </c>
      <c r="M294" t="s">
        <v>5376</v>
      </c>
    </row>
    <row r="295" spans="1:13" x14ac:dyDescent="0.3">
      <c r="A295" t="s">
        <v>5377</v>
      </c>
      <c r="B295" t="s">
        <v>691</v>
      </c>
      <c r="C295" t="s">
        <v>906</v>
      </c>
      <c r="D295" s="1">
        <v>46098</v>
      </c>
      <c r="E295" t="s">
        <v>12</v>
      </c>
      <c r="F295" t="s">
        <v>6181</v>
      </c>
      <c r="G29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95">
        <f>Payment_Dataset[[#This Row],[Total Amount]]-Payment_Dataset[[#This Row],[Amount_Paid]]</f>
        <v>36400</v>
      </c>
      <c r="I295">
        <v>0</v>
      </c>
      <c r="J295">
        <v>36400</v>
      </c>
      <c r="K295">
        <v>36400</v>
      </c>
      <c r="L295" t="s">
        <v>4793</v>
      </c>
      <c r="M295" t="s">
        <v>5378</v>
      </c>
    </row>
    <row r="296" spans="1:13" x14ac:dyDescent="0.3">
      <c r="A296" t="s">
        <v>5379</v>
      </c>
      <c r="B296" t="s">
        <v>693</v>
      </c>
      <c r="C296" t="s">
        <v>438</v>
      </c>
      <c r="D296" s="1">
        <v>46146</v>
      </c>
      <c r="E296" t="s">
        <v>12</v>
      </c>
      <c r="F296" t="s">
        <v>6181</v>
      </c>
      <c r="G29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96">
        <f>Payment_Dataset[[#This Row],[Total Amount]]-Payment_Dataset[[#This Row],[Amount_Paid]]</f>
        <v>14400</v>
      </c>
      <c r="I296">
        <v>0</v>
      </c>
      <c r="J296">
        <v>14400</v>
      </c>
      <c r="K296">
        <v>14400</v>
      </c>
      <c r="L296" t="s">
        <v>4790</v>
      </c>
      <c r="M296" t="s">
        <v>5380</v>
      </c>
    </row>
    <row r="297" spans="1:13" x14ac:dyDescent="0.3">
      <c r="A297" t="s">
        <v>5381</v>
      </c>
      <c r="B297" t="s">
        <v>695</v>
      </c>
      <c r="C297" t="s">
        <v>4429</v>
      </c>
      <c r="D297" s="1">
        <v>46136</v>
      </c>
      <c r="E297" t="s">
        <v>38</v>
      </c>
      <c r="F297" t="s">
        <v>6180</v>
      </c>
      <c r="G29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40000</v>
      </c>
      <c r="H297">
        <f>Payment_Dataset[[#This Row],[Total Amount]]-Payment_Dataset[[#This Row],[Amount_Paid]]</f>
        <v>0</v>
      </c>
      <c r="I297">
        <v>40000</v>
      </c>
      <c r="J297">
        <v>0</v>
      </c>
      <c r="K297">
        <v>40000</v>
      </c>
      <c r="L297" t="s">
        <v>4790</v>
      </c>
      <c r="M297" t="s">
        <v>5382</v>
      </c>
    </row>
    <row r="298" spans="1:13" x14ac:dyDescent="0.3">
      <c r="A298" t="s">
        <v>5383</v>
      </c>
      <c r="B298" t="s">
        <v>697</v>
      </c>
      <c r="C298" t="s">
        <v>376</v>
      </c>
      <c r="D298" s="1">
        <v>46043</v>
      </c>
      <c r="E298" t="s">
        <v>76</v>
      </c>
      <c r="F298" t="s">
        <v>6183</v>
      </c>
      <c r="G29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98">
        <f>Payment_Dataset[[#This Row],[Total Amount]]-Payment_Dataset[[#This Row],[Amount_Paid]]</f>
        <v>0</v>
      </c>
      <c r="I298">
        <v>0</v>
      </c>
      <c r="J298">
        <v>0</v>
      </c>
      <c r="K298">
        <v>0</v>
      </c>
      <c r="L298" t="s">
        <v>6178</v>
      </c>
      <c r="M298" t="s">
        <v>5384</v>
      </c>
    </row>
    <row r="299" spans="1:13" x14ac:dyDescent="0.3">
      <c r="A299" t="s">
        <v>5385</v>
      </c>
      <c r="B299" t="s">
        <v>699</v>
      </c>
      <c r="C299" t="s">
        <v>980</v>
      </c>
      <c r="D299" s="1">
        <v>46133</v>
      </c>
      <c r="E299" t="s">
        <v>12</v>
      </c>
      <c r="F299" t="s">
        <v>6181</v>
      </c>
      <c r="G29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299">
        <f>Payment_Dataset[[#This Row],[Total Amount]]-Payment_Dataset[[#This Row],[Amount_Paid]]</f>
        <v>20000</v>
      </c>
      <c r="I299">
        <v>0</v>
      </c>
      <c r="J299">
        <v>20000</v>
      </c>
      <c r="K299">
        <v>20000</v>
      </c>
      <c r="L299" t="s">
        <v>4796</v>
      </c>
      <c r="M299" t="s">
        <v>5386</v>
      </c>
    </row>
    <row r="300" spans="1:13" x14ac:dyDescent="0.3">
      <c r="A300" t="s">
        <v>5387</v>
      </c>
      <c r="B300" t="s">
        <v>701</v>
      </c>
      <c r="C300" t="s">
        <v>4417</v>
      </c>
      <c r="D300" s="1">
        <v>46195</v>
      </c>
      <c r="E300" t="s">
        <v>12</v>
      </c>
      <c r="F300" t="s">
        <v>6181</v>
      </c>
      <c r="G30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00">
        <f>Payment_Dataset[[#This Row],[Total Amount]]-Payment_Dataset[[#This Row],[Amount_Paid]]</f>
        <v>33000</v>
      </c>
      <c r="I300">
        <v>0</v>
      </c>
      <c r="J300">
        <v>33000</v>
      </c>
      <c r="K300">
        <v>33000</v>
      </c>
      <c r="L300" t="s">
        <v>4799</v>
      </c>
      <c r="M300" t="s">
        <v>5388</v>
      </c>
    </row>
    <row r="301" spans="1:13" x14ac:dyDescent="0.3">
      <c r="A301" t="s">
        <v>5389</v>
      </c>
      <c r="B301" t="s">
        <v>703</v>
      </c>
      <c r="C301" t="s">
        <v>1663</v>
      </c>
      <c r="D301" s="1">
        <v>46026</v>
      </c>
      <c r="E301" t="s">
        <v>38</v>
      </c>
      <c r="F301" t="s">
        <v>6180</v>
      </c>
      <c r="G30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5400</v>
      </c>
      <c r="H301">
        <f>Payment_Dataset[[#This Row],[Total Amount]]-Payment_Dataset[[#This Row],[Amount_Paid]]</f>
        <v>0</v>
      </c>
      <c r="I301">
        <v>5400</v>
      </c>
      <c r="J301">
        <v>0</v>
      </c>
      <c r="K301">
        <v>5400</v>
      </c>
      <c r="L301" t="s">
        <v>4799</v>
      </c>
      <c r="M301" t="s">
        <v>5390</v>
      </c>
    </row>
    <row r="302" spans="1:13" x14ac:dyDescent="0.3">
      <c r="A302" t="s">
        <v>5391</v>
      </c>
      <c r="B302" t="s">
        <v>705</v>
      </c>
      <c r="C302" t="s">
        <v>1791</v>
      </c>
      <c r="D302" s="1">
        <v>46205</v>
      </c>
      <c r="E302" t="s">
        <v>49</v>
      </c>
      <c r="F302" t="s">
        <v>6182</v>
      </c>
      <c r="G30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4200</v>
      </c>
      <c r="H302">
        <f>Payment_Dataset[[#This Row],[Total Amount]]-Payment_Dataset[[#This Row],[Amount_Paid]]</f>
        <v>7800</v>
      </c>
      <c r="I302">
        <v>4200</v>
      </c>
      <c r="J302">
        <v>7800</v>
      </c>
      <c r="K302">
        <v>12000</v>
      </c>
      <c r="L302" t="s">
        <v>4790</v>
      </c>
      <c r="M302" t="s">
        <v>5392</v>
      </c>
    </row>
    <row r="303" spans="1:13" x14ac:dyDescent="0.3">
      <c r="A303" t="s">
        <v>5393</v>
      </c>
      <c r="B303" t="s">
        <v>707</v>
      </c>
      <c r="C303" t="s">
        <v>2350</v>
      </c>
      <c r="D303" s="1">
        <v>46129</v>
      </c>
      <c r="E303" t="s">
        <v>12</v>
      </c>
      <c r="F303" t="s">
        <v>6181</v>
      </c>
      <c r="G30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03">
        <f>Payment_Dataset[[#This Row],[Total Amount]]-Payment_Dataset[[#This Row],[Amount_Paid]]</f>
        <v>7800</v>
      </c>
      <c r="I303">
        <v>0</v>
      </c>
      <c r="J303">
        <v>7800</v>
      </c>
      <c r="K303">
        <v>7800</v>
      </c>
      <c r="L303" t="s">
        <v>4790</v>
      </c>
      <c r="M303" t="s">
        <v>5394</v>
      </c>
    </row>
    <row r="304" spans="1:13" x14ac:dyDescent="0.3">
      <c r="A304" t="s">
        <v>5395</v>
      </c>
      <c r="B304" t="s">
        <v>709</v>
      </c>
      <c r="C304" t="s">
        <v>3285</v>
      </c>
      <c r="D304" s="1">
        <v>46047</v>
      </c>
      <c r="E304" t="s">
        <v>12</v>
      </c>
      <c r="F304" t="s">
        <v>6181</v>
      </c>
      <c r="G30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04">
        <f>Payment_Dataset[[#This Row],[Total Amount]]-Payment_Dataset[[#This Row],[Amount_Paid]]</f>
        <v>46200</v>
      </c>
      <c r="I304">
        <v>0</v>
      </c>
      <c r="J304">
        <v>46200</v>
      </c>
      <c r="K304">
        <v>46200</v>
      </c>
      <c r="L304" t="s">
        <v>4796</v>
      </c>
      <c r="M304" t="s">
        <v>5396</v>
      </c>
    </row>
    <row r="305" spans="1:13" x14ac:dyDescent="0.3">
      <c r="A305" t="s">
        <v>5397</v>
      </c>
      <c r="B305" t="s">
        <v>712</v>
      </c>
      <c r="C305" t="s">
        <v>2686</v>
      </c>
      <c r="D305" s="1">
        <v>46198</v>
      </c>
      <c r="E305" t="s">
        <v>12</v>
      </c>
      <c r="F305" t="s">
        <v>6181</v>
      </c>
      <c r="G30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05">
        <f>Payment_Dataset[[#This Row],[Total Amount]]-Payment_Dataset[[#This Row],[Amount_Paid]]</f>
        <v>7000</v>
      </c>
      <c r="I305">
        <v>0</v>
      </c>
      <c r="J305">
        <v>7000</v>
      </c>
      <c r="K305">
        <v>7000</v>
      </c>
      <c r="L305" t="s">
        <v>4793</v>
      </c>
      <c r="M305" t="s">
        <v>5398</v>
      </c>
    </row>
    <row r="306" spans="1:13" x14ac:dyDescent="0.3">
      <c r="A306" t="s">
        <v>5399</v>
      </c>
      <c r="B306" t="s">
        <v>714</v>
      </c>
      <c r="C306" t="s">
        <v>2843</v>
      </c>
      <c r="D306" s="1">
        <v>46159</v>
      </c>
      <c r="E306" t="s">
        <v>49</v>
      </c>
      <c r="F306" t="s">
        <v>6182</v>
      </c>
      <c r="G30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1924.9999999999998</v>
      </c>
      <c r="H306">
        <f>Payment_Dataset[[#This Row],[Total Amount]]-Payment_Dataset[[#This Row],[Amount_Paid]]</f>
        <v>3575</v>
      </c>
      <c r="I306">
        <v>1925</v>
      </c>
      <c r="J306">
        <v>3575</v>
      </c>
      <c r="K306">
        <v>5500</v>
      </c>
      <c r="L306" t="s">
        <v>4793</v>
      </c>
      <c r="M306" t="s">
        <v>5400</v>
      </c>
    </row>
    <row r="307" spans="1:13" x14ac:dyDescent="0.3">
      <c r="A307" t="s">
        <v>5401</v>
      </c>
      <c r="B307" t="s">
        <v>716</v>
      </c>
      <c r="C307" t="s">
        <v>2569</v>
      </c>
      <c r="D307" s="1">
        <v>46063</v>
      </c>
      <c r="E307" t="s">
        <v>12</v>
      </c>
      <c r="F307" t="s">
        <v>6181</v>
      </c>
      <c r="G30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07">
        <f>Payment_Dataset[[#This Row],[Total Amount]]-Payment_Dataset[[#This Row],[Amount_Paid]]</f>
        <v>36000</v>
      </c>
      <c r="I307">
        <v>0</v>
      </c>
      <c r="J307">
        <v>36000</v>
      </c>
      <c r="K307">
        <v>36000</v>
      </c>
      <c r="L307" t="s">
        <v>4793</v>
      </c>
      <c r="M307" t="s">
        <v>5402</v>
      </c>
    </row>
    <row r="308" spans="1:13" x14ac:dyDescent="0.3">
      <c r="A308" t="s">
        <v>5403</v>
      </c>
      <c r="B308" t="s">
        <v>718</v>
      </c>
      <c r="C308" t="s">
        <v>589</v>
      </c>
      <c r="D308" s="1">
        <v>46088</v>
      </c>
      <c r="E308" t="s">
        <v>12</v>
      </c>
      <c r="F308" t="s">
        <v>6181</v>
      </c>
      <c r="G30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08">
        <f>Payment_Dataset[[#This Row],[Total Amount]]-Payment_Dataset[[#This Row],[Amount_Paid]]</f>
        <v>12000</v>
      </c>
      <c r="I308">
        <v>0</v>
      </c>
      <c r="J308">
        <v>12000</v>
      </c>
      <c r="K308">
        <v>12000</v>
      </c>
      <c r="L308" t="s">
        <v>4796</v>
      </c>
      <c r="M308" t="s">
        <v>5404</v>
      </c>
    </row>
    <row r="309" spans="1:13" x14ac:dyDescent="0.3">
      <c r="A309" t="s">
        <v>5405</v>
      </c>
      <c r="B309" t="s">
        <v>720</v>
      </c>
      <c r="C309" t="s">
        <v>1846</v>
      </c>
      <c r="D309" s="1">
        <v>46153</v>
      </c>
      <c r="E309" t="s">
        <v>12</v>
      </c>
      <c r="F309" t="s">
        <v>6181</v>
      </c>
      <c r="G30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09">
        <f>Payment_Dataset[[#This Row],[Total Amount]]-Payment_Dataset[[#This Row],[Amount_Paid]]</f>
        <v>35000</v>
      </c>
      <c r="I309">
        <v>0</v>
      </c>
      <c r="J309">
        <v>35000</v>
      </c>
      <c r="K309">
        <v>35000</v>
      </c>
      <c r="L309" t="s">
        <v>4799</v>
      </c>
      <c r="M309" t="s">
        <v>5406</v>
      </c>
    </row>
    <row r="310" spans="1:13" x14ac:dyDescent="0.3">
      <c r="A310" t="s">
        <v>5407</v>
      </c>
      <c r="B310" t="s">
        <v>722</v>
      </c>
      <c r="C310" t="s">
        <v>3576</v>
      </c>
      <c r="D310" s="1">
        <v>46126</v>
      </c>
      <c r="E310" t="s">
        <v>12</v>
      </c>
      <c r="F310" t="s">
        <v>6181</v>
      </c>
      <c r="G31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10">
        <f>Payment_Dataset[[#This Row],[Total Amount]]-Payment_Dataset[[#This Row],[Amount_Paid]]</f>
        <v>46900</v>
      </c>
      <c r="I310">
        <v>0</v>
      </c>
      <c r="J310">
        <v>46900</v>
      </c>
      <c r="K310">
        <v>46900</v>
      </c>
      <c r="L310" t="s">
        <v>4787</v>
      </c>
      <c r="M310" t="s">
        <v>5408</v>
      </c>
    </row>
    <row r="311" spans="1:13" x14ac:dyDescent="0.3">
      <c r="A311" t="s">
        <v>5409</v>
      </c>
      <c r="B311" t="s">
        <v>724</v>
      </c>
      <c r="C311" t="s">
        <v>3005</v>
      </c>
      <c r="D311" s="1">
        <v>46029</v>
      </c>
      <c r="E311" t="s">
        <v>12</v>
      </c>
      <c r="F311" t="s">
        <v>6181</v>
      </c>
      <c r="G31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11">
        <f>Payment_Dataset[[#This Row],[Total Amount]]-Payment_Dataset[[#This Row],[Amount_Paid]]</f>
        <v>43200</v>
      </c>
      <c r="I311">
        <v>0</v>
      </c>
      <c r="J311">
        <v>43200</v>
      </c>
      <c r="K311">
        <v>43200</v>
      </c>
      <c r="L311" t="s">
        <v>4793</v>
      </c>
      <c r="M311" t="s">
        <v>5410</v>
      </c>
    </row>
    <row r="312" spans="1:13" x14ac:dyDescent="0.3">
      <c r="A312" t="s">
        <v>5411</v>
      </c>
      <c r="B312" t="s">
        <v>726</v>
      </c>
      <c r="C312" t="s">
        <v>3145</v>
      </c>
      <c r="D312" s="1">
        <v>46194</v>
      </c>
      <c r="E312" t="s">
        <v>12</v>
      </c>
      <c r="F312" t="s">
        <v>6181</v>
      </c>
      <c r="G31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12">
        <f>Payment_Dataset[[#This Row],[Total Amount]]-Payment_Dataset[[#This Row],[Amount_Paid]]</f>
        <v>32900</v>
      </c>
      <c r="I312">
        <v>0</v>
      </c>
      <c r="J312">
        <v>32900</v>
      </c>
      <c r="K312">
        <v>32900</v>
      </c>
      <c r="L312" t="s">
        <v>4793</v>
      </c>
      <c r="M312" t="s">
        <v>5412</v>
      </c>
    </row>
    <row r="313" spans="1:13" x14ac:dyDescent="0.3">
      <c r="A313" t="s">
        <v>5413</v>
      </c>
      <c r="B313" t="s">
        <v>728</v>
      </c>
      <c r="C313" t="s">
        <v>3482</v>
      </c>
      <c r="D313" s="1">
        <v>46033</v>
      </c>
      <c r="E313" t="s">
        <v>12</v>
      </c>
      <c r="F313" t="s">
        <v>6181</v>
      </c>
      <c r="G31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13">
        <f>Payment_Dataset[[#This Row],[Total Amount]]-Payment_Dataset[[#This Row],[Amount_Paid]]</f>
        <v>20000</v>
      </c>
      <c r="I313">
        <v>0</v>
      </c>
      <c r="J313">
        <v>20000</v>
      </c>
      <c r="K313">
        <v>20000</v>
      </c>
      <c r="L313" t="s">
        <v>4787</v>
      </c>
      <c r="M313" t="s">
        <v>5414</v>
      </c>
    </row>
    <row r="314" spans="1:13" x14ac:dyDescent="0.3">
      <c r="A314" t="s">
        <v>5415</v>
      </c>
      <c r="B314" t="s">
        <v>730</v>
      </c>
      <c r="C314" t="s">
        <v>916</v>
      </c>
      <c r="D314" s="1">
        <v>46196</v>
      </c>
      <c r="E314" t="s">
        <v>12</v>
      </c>
      <c r="F314" t="s">
        <v>6181</v>
      </c>
      <c r="G31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14">
        <f>Payment_Dataset[[#This Row],[Total Amount]]-Payment_Dataset[[#This Row],[Amount_Paid]]</f>
        <v>18600</v>
      </c>
      <c r="I314">
        <v>0</v>
      </c>
      <c r="J314">
        <v>18600</v>
      </c>
      <c r="K314">
        <v>18600</v>
      </c>
      <c r="L314" t="s">
        <v>4799</v>
      </c>
      <c r="M314" t="s">
        <v>5416</v>
      </c>
    </row>
    <row r="315" spans="1:13" x14ac:dyDescent="0.3">
      <c r="A315" t="s">
        <v>5417</v>
      </c>
      <c r="B315" t="s">
        <v>732</v>
      </c>
      <c r="C315" t="s">
        <v>2109</v>
      </c>
      <c r="D315" s="1">
        <v>46048</v>
      </c>
      <c r="E315" t="s">
        <v>12</v>
      </c>
      <c r="F315" t="s">
        <v>6181</v>
      </c>
      <c r="G31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15">
        <f>Payment_Dataset[[#This Row],[Total Amount]]-Payment_Dataset[[#This Row],[Amount_Paid]]</f>
        <v>13800</v>
      </c>
      <c r="I315">
        <v>0</v>
      </c>
      <c r="J315">
        <v>13800</v>
      </c>
      <c r="K315">
        <v>13800</v>
      </c>
      <c r="L315" t="s">
        <v>4793</v>
      </c>
      <c r="M315" t="s">
        <v>5418</v>
      </c>
    </row>
    <row r="316" spans="1:13" x14ac:dyDescent="0.3">
      <c r="A316" t="s">
        <v>5419</v>
      </c>
      <c r="B316" t="s">
        <v>734</v>
      </c>
      <c r="C316" t="s">
        <v>1677</v>
      </c>
      <c r="D316" s="1">
        <v>46133</v>
      </c>
      <c r="E316" t="s">
        <v>49</v>
      </c>
      <c r="F316" t="s">
        <v>6182</v>
      </c>
      <c r="G31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8400</v>
      </c>
      <c r="H316">
        <f>Payment_Dataset[[#This Row],[Total Amount]]-Payment_Dataset[[#This Row],[Amount_Paid]]</f>
        <v>15600</v>
      </c>
      <c r="I316">
        <v>8400</v>
      </c>
      <c r="J316">
        <v>15600</v>
      </c>
      <c r="K316">
        <v>24000</v>
      </c>
      <c r="L316" t="s">
        <v>4793</v>
      </c>
      <c r="M316" t="s">
        <v>5420</v>
      </c>
    </row>
    <row r="317" spans="1:13" x14ac:dyDescent="0.3">
      <c r="A317" t="s">
        <v>5421</v>
      </c>
      <c r="B317" t="s">
        <v>736</v>
      </c>
      <c r="C317" t="s">
        <v>2948</v>
      </c>
      <c r="D317" s="1">
        <v>46043</v>
      </c>
      <c r="E317" t="s">
        <v>12</v>
      </c>
      <c r="F317" t="s">
        <v>6181</v>
      </c>
      <c r="G31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17">
        <f>Payment_Dataset[[#This Row],[Total Amount]]-Payment_Dataset[[#This Row],[Amount_Paid]]</f>
        <v>36400</v>
      </c>
      <c r="I317">
        <v>0</v>
      </c>
      <c r="J317">
        <v>36400</v>
      </c>
      <c r="K317">
        <v>36400</v>
      </c>
      <c r="L317" t="s">
        <v>4796</v>
      </c>
      <c r="M317" t="s">
        <v>5422</v>
      </c>
    </row>
    <row r="318" spans="1:13" x14ac:dyDescent="0.3">
      <c r="A318" t="s">
        <v>5423</v>
      </c>
      <c r="B318" t="s">
        <v>738</v>
      </c>
      <c r="C318" t="s">
        <v>2805</v>
      </c>
      <c r="D318" s="1">
        <v>46087</v>
      </c>
      <c r="E318" t="s">
        <v>12</v>
      </c>
      <c r="F318" t="s">
        <v>6181</v>
      </c>
      <c r="G31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18">
        <f>Payment_Dataset[[#This Row],[Total Amount]]-Payment_Dataset[[#This Row],[Amount_Paid]]</f>
        <v>49000</v>
      </c>
      <c r="I318">
        <v>0</v>
      </c>
      <c r="J318">
        <v>49000</v>
      </c>
      <c r="K318">
        <v>49000</v>
      </c>
      <c r="L318" t="s">
        <v>4796</v>
      </c>
      <c r="M318" t="s">
        <v>5424</v>
      </c>
    </row>
    <row r="319" spans="1:13" x14ac:dyDescent="0.3">
      <c r="A319" t="s">
        <v>5425</v>
      </c>
      <c r="B319" t="s">
        <v>740</v>
      </c>
      <c r="C319" t="s">
        <v>2555</v>
      </c>
      <c r="D319" s="1">
        <v>46069</v>
      </c>
      <c r="E319" t="s">
        <v>38</v>
      </c>
      <c r="F319" t="s">
        <v>6180</v>
      </c>
      <c r="G31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32000</v>
      </c>
      <c r="H319">
        <f>Payment_Dataset[[#This Row],[Total Amount]]-Payment_Dataset[[#This Row],[Amount_Paid]]</f>
        <v>0</v>
      </c>
      <c r="I319">
        <v>32000</v>
      </c>
      <c r="J319">
        <v>0</v>
      </c>
      <c r="K319">
        <v>32000</v>
      </c>
      <c r="L319" t="s">
        <v>4790</v>
      </c>
      <c r="M319" t="s">
        <v>5426</v>
      </c>
    </row>
    <row r="320" spans="1:13" x14ac:dyDescent="0.3">
      <c r="A320" t="s">
        <v>5427</v>
      </c>
      <c r="B320" t="s">
        <v>742</v>
      </c>
      <c r="C320" t="s">
        <v>184</v>
      </c>
      <c r="D320" s="1">
        <v>46131</v>
      </c>
      <c r="E320" t="s">
        <v>38</v>
      </c>
      <c r="F320" t="s">
        <v>6180</v>
      </c>
      <c r="G32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27000</v>
      </c>
      <c r="H320">
        <f>Payment_Dataset[[#This Row],[Total Amount]]-Payment_Dataset[[#This Row],[Amount_Paid]]</f>
        <v>0</v>
      </c>
      <c r="I320">
        <v>27000</v>
      </c>
      <c r="J320">
        <v>0</v>
      </c>
      <c r="K320">
        <v>27000</v>
      </c>
      <c r="L320" t="s">
        <v>4787</v>
      </c>
      <c r="M320" t="s">
        <v>5428</v>
      </c>
    </row>
    <row r="321" spans="1:13" x14ac:dyDescent="0.3">
      <c r="A321" t="s">
        <v>5429</v>
      </c>
      <c r="B321" t="s">
        <v>744</v>
      </c>
      <c r="C321" t="s">
        <v>2160</v>
      </c>
      <c r="D321" s="1">
        <v>46027</v>
      </c>
      <c r="E321" t="s">
        <v>12</v>
      </c>
      <c r="F321" t="s">
        <v>6181</v>
      </c>
      <c r="G32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21">
        <f>Payment_Dataset[[#This Row],[Total Amount]]-Payment_Dataset[[#This Row],[Amount_Paid]]</f>
        <v>26000</v>
      </c>
      <c r="I321">
        <v>0</v>
      </c>
      <c r="J321">
        <v>26000</v>
      </c>
      <c r="K321">
        <v>26000</v>
      </c>
      <c r="L321" t="s">
        <v>4793</v>
      </c>
      <c r="M321" t="s">
        <v>5430</v>
      </c>
    </row>
    <row r="322" spans="1:13" x14ac:dyDescent="0.3">
      <c r="A322" t="s">
        <v>5431</v>
      </c>
      <c r="B322" t="s">
        <v>746</v>
      </c>
      <c r="C322" t="s">
        <v>1094</v>
      </c>
      <c r="D322" s="1">
        <v>46043</v>
      </c>
      <c r="E322" t="s">
        <v>12</v>
      </c>
      <c r="F322" t="s">
        <v>6181</v>
      </c>
      <c r="G32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22">
        <f>Payment_Dataset[[#This Row],[Total Amount]]-Payment_Dataset[[#This Row],[Amount_Paid]]</f>
        <v>8000</v>
      </c>
      <c r="I322">
        <v>0</v>
      </c>
      <c r="J322">
        <v>8000</v>
      </c>
      <c r="K322">
        <v>8000</v>
      </c>
      <c r="L322" t="s">
        <v>4793</v>
      </c>
      <c r="M322" t="s">
        <v>5432</v>
      </c>
    </row>
    <row r="323" spans="1:13" x14ac:dyDescent="0.3">
      <c r="A323" t="s">
        <v>5433</v>
      </c>
      <c r="B323" t="s">
        <v>748</v>
      </c>
      <c r="C323" t="s">
        <v>1302</v>
      </c>
      <c r="D323" s="1">
        <v>46203</v>
      </c>
      <c r="E323" t="s">
        <v>12</v>
      </c>
      <c r="F323" t="s">
        <v>6181</v>
      </c>
      <c r="G32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23">
        <f>Payment_Dataset[[#This Row],[Total Amount]]-Payment_Dataset[[#This Row],[Amount_Paid]]</f>
        <v>7700</v>
      </c>
      <c r="I323">
        <v>0</v>
      </c>
      <c r="J323">
        <v>7700</v>
      </c>
      <c r="K323">
        <v>7700</v>
      </c>
      <c r="L323" t="s">
        <v>4787</v>
      </c>
      <c r="M323" t="s">
        <v>5434</v>
      </c>
    </row>
    <row r="324" spans="1:13" x14ac:dyDescent="0.3">
      <c r="A324" t="s">
        <v>5435</v>
      </c>
      <c r="B324" t="s">
        <v>750</v>
      </c>
      <c r="C324" t="s">
        <v>1788</v>
      </c>
      <c r="D324" s="1">
        <v>46102</v>
      </c>
      <c r="E324" t="s">
        <v>38</v>
      </c>
      <c r="F324" t="s">
        <v>6180</v>
      </c>
      <c r="G32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19200</v>
      </c>
      <c r="H324">
        <f>Payment_Dataset[[#This Row],[Total Amount]]-Payment_Dataset[[#This Row],[Amount_Paid]]</f>
        <v>0</v>
      </c>
      <c r="I324">
        <v>19200</v>
      </c>
      <c r="J324">
        <v>0</v>
      </c>
      <c r="K324">
        <v>19200</v>
      </c>
      <c r="L324" t="s">
        <v>4790</v>
      </c>
      <c r="M324" t="s">
        <v>5436</v>
      </c>
    </row>
    <row r="325" spans="1:13" x14ac:dyDescent="0.3">
      <c r="A325" t="s">
        <v>5437</v>
      </c>
      <c r="B325" t="s">
        <v>752</v>
      </c>
      <c r="C325" t="s">
        <v>4427</v>
      </c>
      <c r="D325" s="1">
        <v>46053</v>
      </c>
      <c r="E325" t="s">
        <v>38</v>
      </c>
      <c r="F325" t="s">
        <v>6180</v>
      </c>
      <c r="G32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28800</v>
      </c>
      <c r="H325">
        <f>Payment_Dataset[[#This Row],[Total Amount]]-Payment_Dataset[[#This Row],[Amount_Paid]]</f>
        <v>0</v>
      </c>
      <c r="I325">
        <v>28800</v>
      </c>
      <c r="J325">
        <v>0</v>
      </c>
      <c r="K325">
        <v>28800</v>
      </c>
      <c r="L325" t="s">
        <v>4790</v>
      </c>
      <c r="M325" t="s">
        <v>5438</v>
      </c>
    </row>
    <row r="326" spans="1:13" x14ac:dyDescent="0.3">
      <c r="A326" t="s">
        <v>5439</v>
      </c>
      <c r="B326" t="s">
        <v>754</v>
      </c>
      <c r="C326" t="s">
        <v>666</v>
      </c>
      <c r="D326" s="1">
        <v>46166</v>
      </c>
      <c r="E326" t="s">
        <v>12</v>
      </c>
      <c r="F326" t="s">
        <v>6181</v>
      </c>
      <c r="G32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26">
        <f>Payment_Dataset[[#This Row],[Total Amount]]-Payment_Dataset[[#This Row],[Amount_Paid]]</f>
        <v>6200</v>
      </c>
      <c r="I326">
        <v>0</v>
      </c>
      <c r="J326">
        <v>6200</v>
      </c>
      <c r="K326">
        <v>6200</v>
      </c>
      <c r="L326" t="s">
        <v>4793</v>
      </c>
      <c r="M326" t="s">
        <v>5440</v>
      </c>
    </row>
    <row r="327" spans="1:13" x14ac:dyDescent="0.3">
      <c r="A327" t="s">
        <v>5441</v>
      </c>
      <c r="B327" t="s">
        <v>756</v>
      </c>
      <c r="C327" t="s">
        <v>4201</v>
      </c>
      <c r="D327" s="1">
        <v>46080</v>
      </c>
      <c r="E327" t="s">
        <v>12</v>
      </c>
      <c r="F327" t="s">
        <v>6181</v>
      </c>
      <c r="G32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27">
        <f>Payment_Dataset[[#This Row],[Total Amount]]-Payment_Dataset[[#This Row],[Amount_Paid]]</f>
        <v>14000</v>
      </c>
      <c r="I327">
        <v>0</v>
      </c>
      <c r="J327">
        <v>14000</v>
      </c>
      <c r="K327">
        <v>14000</v>
      </c>
      <c r="L327" t="s">
        <v>4790</v>
      </c>
      <c r="M327" t="s">
        <v>5442</v>
      </c>
    </row>
    <row r="328" spans="1:13" x14ac:dyDescent="0.3">
      <c r="A328" t="s">
        <v>5443</v>
      </c>
      <c r="B328" t="s">
        <v>758</v>
      </c>
      <c r="C328" t="s">
        <v>1945</v>
      </c>
      <c r="D328" s="1">
        <v>46026</v>
      </c>
      <c r="E328" t="s">
        <v>12</v>
      </c>
      <c r="F328" t="s">
        <v>6181</v>
      </c>
      <c r="G32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28">
        <f>Payment_Dataset[[#This Row],[Total Amount]]-Payment_Dataset[[#This Row],[Amount_Paid]]</f>
        <v>58100</v>
      </c>
      <c r="I328">
        <v>0</v>
      </c>
      <c r="J328">
        <v>58100</v>
      </c>
      <c r="K328">
        <v>58100</v>
      </c>
      <c r="L328" t="s">
        <v>4787</v>
      </c>
      <c r="M328" t="s">
        <v>5444</v>
      </c>
    </row>
    <row r="329" spans="1:13" x14ac:dyDescent="0.3">
      <c r="A329" t="s">
        <v>5445</v>
      </c>
      <c r="B329" t="s">
        <v>760</v>
      </c>
      <c r="C329" t="s">
        <v>3867</v>
      </c>
      <c r="D329" s="1">
        <v>46036</v>
      </c>
      <c r="E329" t="s">
        <v>12</v>
      </c>
      <c r="F329" t="s">
        <v>6181</v>
      </c>
      <c r="G32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29">
        <f>Payment_Dataset[[#This Row],[Total Amount]]-Payment_Dataset[[#This Row],[Amount_Paid]]</f>
        <v>17200</v>
      </c>
      <c r="I329">
        <v>0</v>
      </c>
      <c r="J329">
        <v>17200</v>
      </c>
      <c r="K329">
        <v>17200</v>
      </c>
      <c r="L329" t="s">
        <v>4796</v>
      </c>
      <c r="M329" t="s">
        <v>5446</v>
      </c>
    </row>
    <row r="330" spans="1:13" x14ac:dyDescent="0.3">
      <c r="A330" t="s">
        <v>5447</v>
      </c>
      <c r="B330" t="s">
        <v>762</v>
      </c>
      <c r="C330" t="s">
        <v>4170</v>
      </c>
      <c r="D330" s="1">
        <v>46164</v>
      </c>
      <c r="E330" t="s">
        <v>76</v>
      </c>
      <c r="F330" t="s">
        <v>6183</v>
      </c>
      <c r="G33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30">
        <f>Payment_Dataset[[#This Row],[Total Amount]]-Payment_Dataset[[#This Row],[Amount_Paid]]</f>
        <v>0</v>
      </c>
      <c r="I330">
        <v>0</v>
      </c>
      <c r="J330">
        <v>0</v>
      </c>
      <c r="K330">
        <v>0</v>
      </c>
      <c r="L330" t="s">
        <v>6178</v>
      </c>
      <c r="M330" t="s">
        <v>5448</v>
      </c>
    </row>
    <row r="331" spans="1:13" x14ac:dyDescent="0.3">
      <c r="A331" t="s">
        <v>5449</v>
      </c>
      <c r="B331" t="s">
        <v>764</v>
      </c>
      <c r="C331" t="s">
        <v>4344</v>
      </c>
      <c r="D331" s="1">
        <v>46140</v>
      </c>
      <c r="E331" t="s">
        <v>38</v>
      </c>
      <c r="F331" t="s">
        <v>6180</v>
      </c>
      <c r="G33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15600</v>
      </c>
      <c r="H331">
        <f>Payment_Dataset[[#This Row],[Total Amount]]-Payment_Dataset[[#This Row],[Amount_Paid]]</f>
        <v>0</v>
      </c>
      <c r="I331">
        <v>15600</v>
      </c>
      <c r="J331">
        <v>0</v>
      </c>
      <c r="K331">
        <v>15600</v>
      </c>
      <c r="L331" t="s">
        <v>4787</v>
      </c>
      <c r="M331" t="s">
        <v>5450</v>
      </c>
    </row>
    <row r="332" spans="1:13" x14ac:dyDescent="0.3">
      <c r="A332" t="s">
        <v>5451</v>
      </c>
      <c r="B332" t="s">
        <v>766</v>
      </c>
      <c r="C332" t="s">
        <v>395</v>
      </c>
      <c r="D332" s="1">
        <v>46099</v>
      </c>
      <c r="E332" t="s">
        <v>38</v>
      </c>
      <c r="F332" t="s">
        <v>6180</v>
      </c>
      <c r="G33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4700</v>
      </c>
      <c r="H332">
        <f>Payment_Dataset[[#This Row],[Total Amount]]-Payment_Dataset[[#This Row],[Amount_Paid]]</f>
        <v>0</v>
      </c>
      <c r="I332">
        <v>4700</v>
      </c>
      <c r="J332">
        <v>0</v>
      </c>
      <c r="K332">
        <v>4700</v>
      </c>
      <c r="L332" t="s">
        <v>4796</v>
      </c>
      <c r="M332" t="s">
        <v>5452</v>
      </c>
    </row>
    <row r="333" spans="1:13" x14ac:dyDescent="0.3">
      <c r="A333" t="s">
        <v>5453</v>
      </c>
      <c r="B333" t="s">
        <v>768</v>
      </c>
      <c r="C333" t="s">
        <v>1134</v>
      </c>
      <c r="D333" s="1">
        <v>46187</v>
      </c>
      <c r="E333" t="s">
        <v>12</v>
      </c>
      <c r="F333" t="s">
        <v>6181</v>
      </c>
      <c r="G33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33">
        <f>Payment_Dataset[[#This Row],[Total Amount]]-Payment_Dataset[[#This Row],[Amount_Paid]]</f>
        <v>3500</v>
      </c>
      <c r="I333">
        <v>0</v>
      </c>
      <c r="J333">
        <v>3500</v>
      </c>
      <c r="K333">
        <v>3500</v>
      </c>
      <c r="L333" t="s">
        <v>4790</v>
      </c>
      <c r="M333" t="s">
        <v>5454</v>
      </c>
    </row>
    <row r="334" spans="1:13" x14ac:dyDescent="0.3">
      <c r="A334" t="s">
        <v>5455</v>
      </c>
      <c r="B334" t="s">
        <v>770</v>
      </c>
      <c r="C334" t="s">
        <v>3322</v>
      </c>
      <c r="D334" s="1">
        <v>46086</v>
      </c>
      <c r="E334" t="s">
        <v>38</v>
      </c>
      <c r="F334" t="s">
        <v>6180</v>
      </c>
      <c r="G33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12900</v>
      </c>
      <c r="H334">
        <f>Payment_Dataset[[#This Row],[Total Amount]]-Payment_Dataset[[#This Row],[Amount_Paid]]</f>
        <v>0</v>
      </c>
      <c r="I334">
        <v>12900</v>
      </c>
      <c r="J334">
        <v>0</v>
      </c>
      <c r="K334">
        <v>12900</v>
      </c>
      <c r="L334" t="s">
        <v>4787</v>
      </c>
      <c r="M334" t="s">
        <v>5456</v>
      </c>
    </row>
    <row r="335" spans="1:13" x14ac:dyDescent="0.3">
      <c r="A335" t="s">
        <v>5457</v>
      </c>
      <c r="B335" t="s">
        <v>772</v>
      </c>
      <c r="C335" t="s">
        <v>662</v>
      </c>
      <c r="D335" s="1">
        <v>46171</v>
      </c>
      <c r="E335" t="s">
        <v>76</v>
      </c>
      <c r="F335" t="s">
        <v>6183</v>
      </c>
      <c r="G33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35">
        <f>Payment_Dataset[[#This Row],[Total Amount]]-Payment_Dataset[[#This Row],[Amount_Paid]]</f>
        <v>0</v>
      </c>
      <c r="I335">
        <v>0</v>
      </c>
      <c r="J335">
        <v>0</v>
      </c>
      <c r="K335">
        <v>0</v>
      </c>
      <c r="L335" t="s">
        <v>6178</v>
      </c>
      <c r="M335" t="s">
        <v>5458</v>
      </c>
    </row>
    <row r="336" spans="1:13" x14ac:dyDescent="0.3">
      <c r="A336" t="s">
        <v>5459</v>
      </c>
      <c r="B336" t="s">
        <v>774</v>
      </c>
      <c r="C336" t="s">
        <v>2372</v>
      </c>
      <c r="D336" s="1">
        <v>46072</v>
      </c>
      <c r="E336" t="s">
        <v>12</v>
      </c>
      <c r="F336" t="s">
        <v>6181</v>
      </c>
      <c r="G33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36">
        <f>Payment_Dataset[[#This Row],[Total Amount]]-Payment_Dataset[[#This Row],[Amount_Paid]]</f>
        <v>15000</v>
      </c>
      <c r="I336">
        <v>0</v>
      </c>
      <c r="J336">
        <v>15000</v>
      </c>
      <c r="K336">
        <v>15000</v>
      </c>
      <c r="L336" t="s">
        <v>4799</v>
      </c>
      <c r="M336" t="s">
        <v>5460</v>
      </c>
    </row>
    <row r="337" spans="1:13" x14ac:dyDescent="0.3">
      <c r="A337" t="s">
        <v>5461</v>
      </c>
      <c r="B337" t="s">
        <v>776</v>
      </c>
      <c r="C337" t="s">
        <v>2751</v>
      </c>
      <c r="D337" s="1">
        <v>46089</v>
      </c>
      <c r="E337" t="s">
        <v>38</v>
      </c>
      <c r="F337" t="s">
        <v>6180</v>
      </c>
      <c r="G33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7000</v>
      </c>
      <c r="H337">
        <f>Payment_Dataset[[#This Row],[Total Amount]]-Payment_Dataset[[#This Row],[Amount_Paid]]</f>
        <v>0</v>
      </c>
      <c r="I337">
        <v>7000</v>
      </c>
      <c r="J337">
        <v>0</v>
      </c>
      <c r="K337">
        <v>7000</v>
      </c>
      <c r="L337" t="s">
        <v>4793</v>
      </c>
      <c r="M337" t="s">
        <v>5462</v>
      </c>
    </row>
    <row r="338" spans="1:13" x14ac:dyDescent="0.3">
      <c r="A338" t="s">
        <v>5463</v>
      </c>
      <c r="B338" t="s">
        <v>778</v>
      </c>
      <c r="C338" t="s">
        <v>2440</v>
      </c>
      <c r="D338" s="1">
        <v>46179</v>
      </c>
      <c r="E338" t="s">
        <v>12</v>
      </c>
      <c r="F338" t="s">
        <v>6181</v>
      </c>
      <c r="G33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38">
        <f>Payment_Dataset[[#This Row],[Total Amount]]-Payment_Dataset[[#This Row],[Amount_Paid]]</f>
        <v>14400</v>
      </c>
      <c r="I338">
        <v>0</v>
      </c>
      <c r="J338">
        <v>14400</v>
      </c>
      <c r="K338">
        <v>14400</v>
      </c>
      <c r="L338" t="s">
        <v>4790</v>
      </c>
      <c r="M338" t="s">
        <v>5464</v>
      </c>
    </row>
    <row r="339" spans="1:13" x14ac:dyDescent="0.3">
      <c r="A339" t="s">
        <v>5465</v>
      </c>
      <c r="B339" t="s">
        <v>780</v>
      </c>
      <c r="C339" t="s">
        <v>75</v>
      </c>
      <c r="D339" s="1">
        <v>46179</v>
      </c>
      <c r="E339" t="s">
        <v>38</v>
      </c>
      <c r="F339" t="s">
        <v>6180</v>
      </c>
      <c r="G33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22500</v>
      </c>
      <c r="H339">
        <f>Payment_Dataset[[#This Row],[Total Amount]]-Payment_Dataset[[#This Row],[Amount_Paid]]</f>
        <v>0</v>
      </c>
      <c r="I339">
        <v>22500</v>
      </c>
      <c r="J339">
        <v>0</v>
      </c>
      <c r="K339">
        <v>22500</v>
      </c>
      <c r="L339" t="s">
        <v>4799</v>
      </c>
      <c r="M339" t="s">
        <v>5466</v>
      </c>
    </row>
    <row r="340" spans="1:13" x14ac:dyDescent="0.3">
      <c r="A340" t="s">
        <v>5467</v>
      </c>
      <c r="B340" t="s">
        <v>782</v>
      </c>
      <c r="C340" t="s">
        <v>4045</v>
      </c>
      <c r="D340" s="1">
        <v>46146</v>
      </c>
      <c r="E340" t="s">
        <v>49</v>
      </c>
      <c r="F340" t="s">
        <v>6182</v>
      </c>
      <c r="G34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10500</v>
      </c>
      <c r="H340">
        <f>Payment_Dataset[[#This Row],[Total Amount]]-Payment_Dataset[[#This Row],[Amount_Paid]]</f>
        <v>19500</v>
      </c>
      <c r="I340">
        <v>10500</v>
      </c>
      <c r="J340">
        <v>19500</v>
      </c>
      <c r="K340">
        <v>30000</v>
      </c>
      <c r="L340" t="s">
        <v>4787</v>
      </c>
      <c r="M340" t="s">
        <v>5468</v>
      </c>
    </row>
    <row r="341" spans="1:13" x14ac:dyDescent="0.3">
      <c r="A341" t="s">
        <v>5469</v>
      </c>
      <c r="B341" t="s">
        <v>784</v>
      </c>
      <c r="C341" t="s">
        <v>1010</v>
      </c>
      <c r="D341" s="1">
        <v>46187</v>
      </c>
      <c r="E341" t="s">
        <v>12</v>
      </c>
      <c r="F341" t="s">
        <v>6181</v>
      </c>
      <c r="G34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41">
        <f>Payment_Dataset[[#This Row],[Total Amount]]-Payment_Dataset[[#This Row],[Amount_Paid]]</f>
        <v>20800</v>
      </c>
      <c r="I341">
        <v>0</v>
      </c>
      <c r="J341">
        <v>20800</v>
      </c>
      <c r="K341">
        <v>20800</v>
      </c>
      <c r="L341" t="s">
        <v>4796</v>
      </c>
      <c r="M341" t="s">
        <v>5470</v>
      </c>
    </row>
    <row r="342" spans="1:13" x14ac:dyDescent="0.3">
      <c r="A342" t="s">
        <v>5471</v>
      </c>
      <c r="B342" t="s">
        <v>786</v>
      </c>
      <c r="C342" t="s">
        <v>815</v>
      </c>
      <c r="D342" s="1">
        <v>46180</v>
      </c>
      <c r="E342" t="s">
        <v>12</v>
      </c>
      <c r="F342" t="s">
        <v>6181</v>
      </c>
      <c r="G34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42">
        <f>Payment_Dataset[[#This Row],[Total Amount]]-Payment_Dataset[[#This Row],[Amount_Paid]]</f>
        <v>7200</v>
      </c>
      <c r="I342">
        <v>0</v>
      </c>
      <c r="J342">
        <v>7200</v>
      </c>
      <c r="K342">
        <v>7200</v>
      </c>
      <c r="L342" t="s">
        <v>4790</v>
      </c>
      <c r="M342" t="s">
        <v>5472</v>
      </c>
    </row>
    <row r="343" spans="1:13" x14ac:dyDescent="0.3">
      <c r="A343" t="s">
        <v>5473</v>
      </c>
      <c r="B343" t="s">
        <v>788</v>
      </c>
      <c r="C343" t="s">
        <v>378</v>
      </c>
      <c r="D343" s="1">
        <v>46057</v>
      </c>
      <c r="E343" t="s">
        <v>12</v>
      </c>
      <c r="F343" t="s">
        <v>6181</v>
      </c>
      <c r="G34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43">
        <f>Payment_Dataset[[#This Row],[Total Amount]]-Payment_Dataset[[#This Row],[Amount_Paid]]</f>
        <v>46200</v>
      </c>
      <c r="I343">
        <v>0</v>
      </c>
      <c r="J343">
        <v>46200</v>
      </c>
      <c r="K343">
        <v>46200</v>
      </c>
      <c r="L343" t="s">
        <v>4796</v>
      </c>
      <c r="M343" t="s">
        <v>5474</v>
      </c>
    </row>
    <row r="344" spans="1:13" x14ac:dyDescent="0.3">
      <c r="A344" t="s">
        <v>5475</v>
      </c>
      <c r="B344" t="s">
        <v>790</v>
      </c>
      <c r="C344" t="s">
        <v>620</v>
      </c>
      <c r="D344" s="1">
        <v>46118</v>
      </c>
      <c r="E344" t="s">
        <v>38</v>
      </c>
      <c r="F344" t="s">
        <v>6180</v>
      </c>
      <c r="G34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4200</v>
      </c>
      <c r="H344">
        <f>Payment_Dataset[[#This Row],[Total Amount]]-Payment_Dataset[[#This Row],[Amount_Paid]]</f>
        <v>0</v>
      </c>
      <c r="I344">
        <v>4200</v>
      </c>
      <c r="J344">
        <v>0</v>
      </c>
      <c r="K344">
        <v>4200</v>
      </c>
      <c r="L344" t="s">
        <v>4799</v>
      </c>
      <c r="M344" t="s">
        <v>5476</v>
      </c>
    </row>
    <row r="345" spans="1:13" x14ac:dyDescent="0.3">
      <c r="A345" t="s">
        <v>5477</v>
      </c>
      <c r="B345" t="s">
        <v>792</v>
      </c>
      <c r="C345" t="s">
        <v>2651</v>
      </c>
      <c r="D345" s="1">
        <v>46073</v>
      </c>
      <c r="E345" t="s">
        <v>12</v>
      </c>
      <c r="F345" t="s">
        <v>6181</v>
      </c>
      <c r="G34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45">
        <f>Payment_Dataset[[#This Row],[Total Amount]]-Payment_Dataset[[#This Row],[Amount_Paid]]</f>
        <v>39000</v>
      </c>
      <c r="I345">
        <v>0</v>
      </c>
      <c r="J345">
        <v>39000</v>
      </c>
      <c r="K345">
        <v>39000</v>
      </c>
      <c r="L345" t="s">
        <v>4793</v>
      </c>
      <c r="M345" t="s">
        <v>5478</v>
      </c>
    </row>
    <row r="346" spans="1:13" x14ac:dyDescent="0.3">
      <c r="A346" t="s">
        <v>5479</v>
      </c>
      <c r="B346" t="s">
        <v>794</v>
      </c>
      <c r="C346" t="s">
        <v>402</v>
      </c>
      <c r="D346" s="1">
        <v>46071</v>
      </c>
      <c r="E346" t="s">
        <v>76</v>
      </c>
      <c r="F346" t="s">
        <v>6183</v>
      </c>
      <c r="G34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46">
        <f>Payment_Dataset[[#This Row],[Total Amount]]-Payment_Dataset[[#This Row],[Amount_Paid]]</f>
        <v>0</v>
      </c>
      <c r="I346">
        <v>0</v>
      </c>
      <c r="J346">
        <v>0</v>
      </c>
      <c r="K346">
        <v>0</v>
      </c>
      <c r="L346" t="s">
        <v>6178</v>
      </c>
      <c r="M346" t="s">
        <v>5480</v>
      </c>
    </row>
    <row r="347" spans="1:13" x14ac:dyDescent="0.3">
      <c r="A347" t="s">
        <v>5481</v>
      </c>
      <c r="B347" t="s">
        <v>796</v>
      </c>
      <c r="C347" t="s">
        <v>3242</v>
      </c>
      <c r="D347" s="1">
        <v>46200</v>
      </c>
      <c r="E347" t="s">
        <v>12</v>
      </c>
      <c r="F347" t="s">
        <v>6181</v>
      </c>
      <c r="G34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47">
        <f>Payment_Dataset[[#This Row],[Total Amount]]-Payment_Dataset[[#This Row],[Amount_Paid]]</f>
        <v>12000</v>
      </c>
      <c r="I347">
        <v>0</v>
      </c>
      <c r="J347">
        <v>12000</v>
      </c>
      <c r="K347">
        <v>12000</v>
      </c>
      <c r="L347" t="s">
        <v>4790</v>
      </c>
      <c r="M347" t="s">
        <v>5482</v>
      </c>
    </row>
    <row r="348" spans="1:13" x14ac:dyDescent="0.3">
      <c r="A348" t="s">
        <v>5483</v>
      </c>
      <c r="B348" t="s">
        <v>798</v>
      </c>
      <c r="C348" t="s">
        <v>1112</v>
      </c>
      <c r="D348" s="1">
        <v>46118</v>
      </c>
      <c r="E348" t="s">
        <v>38</v>
      </c>
      <c r="F348" t="s">
        <v>6180</v>
      </c>
      <c r="G34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41500</v>
      </c>
      <c r="H348">
        <f>Payment_Dataset[[#This Row],[Total Amount]]-Payment_Dataset[[#This Row],[Amount_Paid]]</f>
        <v>0</v>
      </c>
      <c r="I348">
        <v>41500</v>
      </c>
      <c r="J348">
        <v>0</v>
      </c>
      <c r="K348">
        <v>41500</v>
      </c>
      <c r="L348" t="s">
        <v>4796</v>
      </c>
      <c r="M348" t="s">
        <v>5484</v>
      </c>
    </row>
    <row r="349" spans="1:13" x14ac:dyDescent="0.3">
      <c r="A349" t="s">
        <v>5485</v>
      </c>
      <c r="B349" t="s">
        <v>800</v>
      </c>
      <c r="C349" t="s">
        <v>472</v>
      </c>
      <c r="D349" s="1">
        <v>46060</v>
      </c>
      <c r="E349" t="s">
        <v>12</v>
      </c>
      <c r="F349" t="s">
        <v>6181</v>
      </c>
      <c r="G34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49">
        <f>Payment_Dataset[[#This Row],[Total Amount]]-Payment_Dataset[[#This Row],[Amount_Paid]]</f>
        <v>24900</v>
      </c>
      <c r="I349">
        <v>0</v>
      </c>
      <c r="J349">
        <v>24900</v>
      </c>
      <c r="K349">
        <v>24900</v>
      </c>
      <c r="L349" t="s">
        <v>4799</v>
      </c>
      <c r="M349" t="s">
        <v>5486</v>
      </c>
    </row>
    <row r="350" spans="1:13" x14ac:dyDescent="0.3">
      <c r="A350" t="s">
        <v>5487</v>
      </c>
      <c r="B350" t="s">
        <v>802</v>
      </c>
      <c r="C350" t="s">
        <v>1244</v>
      </c>
      <c r="D350" s="1">
        <v>46161</v>
      </c>
      <c r="E350" t="s">
        <v>38</v>
      </c>
      <c r="F350" t="s">
        <v>6180</v>
      </c>
      <c r="G35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31500</v>
      </c>
      <c r="H350">
        <f>Payment_Dataset[[#This Row],[Total Amount]]-Payment_Dataset[[#This Row],[Amount_Paid]]</f>
        <v>0</v>
      </c>
      <c r="I350">
        <v>31500</v>
      </c>
      <c r="J350">
        <v>0</v>
      </c>
      <c r="K350">
        <v>31500</v>
      </c>
      <c r="L350" t="s">
        <v>4787</v>
      </c>
      <c r="M350" t="s">
        <v>5488</v>
      </c>
    </row>
    <row r="351" spans="1:13" x14ac:dyDescent="0.3">
      <c r="A351" t="s">
        <v>5489</v>
      </c>
      <c r="B351" t="s">
        <v>804</v>
      </c>
      <c r="C351" t="s">
        <v>974</v>
      </c>
      <c r="D351" s="1">
        <v>46064</v>
      </c>
      <c r="E351" t="s">
        <v>12</v>
      </c>
      <c r="F351" t="s">
        <v>6181</v>
      </c>
      <c r="G35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51">
        <f>Payment_Dataset[[#This Row],[Total Amount]]-Payment_Dataset[[#This Row],[Amount_Paid]]</f>
        <v>4700</v>
      </c>
      <c r="I351">
        <v>0</v>
      </c>
      <c r="J351">
        <v>4700</v>
      </c>
      <c r="K351">
        <v>4700</v>
      </c>
      <c r="L351" t="s">
        <v>4799</v>
      </c>
      <c r="M351" t="s">
        <v>5490</v>
      </c>
    </row>
    <row r="352" spans="1:13" x14ac:dyDescent="0.3">
      <c r="A352" t="s">
        <v>5491</v>
      </c>
      <c r="B352" t="s">
        <v>806</v>
      </c>
      <c r="C352" t="s">
        <v>1416</v>
      </c>
      <c r="D352" s="1">
        <v>46096</v>
      </c>
      <c r="E352" t="s">
        <v>12</v>
      </c>
      <c r="F352" t="s">
        <v>6181</v>
      </c>
      <c r="G35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52">
        <f>Payment_Dataset[[#This Row],[Total Amount]]-Payment_Dataset[[#This Row],[Amount_Paid]]</f>
        <v>6900</v>
      </c>
      <c r="I352">
        <v>0</v>
      </c>
      <c r="J352">
        <v>6900</v>
      </c>
      <c r="K352">
        <v>6900</v>
      </c>
      <c r="L352" t="s">
        <v>4790</v>
      </c>
      <c r="M352" t="s">
        <v>5492</v>
      </c>
    </row>
    <row r="353" spans="1:13" x14ac:dyDescent="0.3">
      <c r="A353" t="s">
        <v>5493</v>
      </c>
      <c r="B353" t="s">
        <v>808</v>
      </c>
      <c r="C353" t="s">
        <v>3707</v>
      </c>
      <c r="D353" s="1">
        <v>46138</v>
      </c>
      <c r="E353" t="s">
        <v>38</v>
      </c>
      <c r="F353" t="s">
        <v>6180</v>
      </c>
      <c r="G35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32000</v>
      </c>
      <c r="H353">
        <f>Payment_Dataset[[#This Row],[Total Amount]]-Payment_Dataset[[#This Row],[Amount_Paid]]</f>
        <v>0</v>
      </c>
      <c r="I353">
        <v>32000</v>
      </c>
      <c r="J353">
        <v>0</v>
      </c>
      <c r="K353">
        <v>32000</v>
      </c>
      <c r="L353" t="s">
        <v>4790</v>
      </c>
      <c r="M353" t="s">
        <v>5494</v>
      </c>
    </row>
    <row r="354" spans="1:13" x14ac:dyDescent="0.3">
      <c r="A354" t="s">
        <v>5495</v>
      </c>
      <c r="B354" t="s">
        <v>810</v>
      </c>
      <c r="C354" t="s">
        <v>4270</v>
      </c>
      <c r="D354" s="1">
        <v>46204</v>
      </c>
      <c r="E354" t="s">
        <v>12</v>
      </c>
      <c r="F354" t="s">
        <v>6181</v>
      </c>
      <c r="G35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54">
        <f>Payment_Dataset[[#This Row],[Total Amount]]-Payment_Dataset[[#This Row],[Amount_Paid]]</f>
        <v>39000</v>
      </c>
      <c r="I354">
        <v>0</v>
      </c>
      <c r="J354">
        <v>39000</v>
      </c>
      <c r="K354">
        <v>39000</v>
      </c>
      <c r="L354" t="s">
        <v>4796</v>
      </c>
      <c r="M354" t="s">
        <v>5496</v>
      </c>
    </row>
    <row r="355" spans="1:13" x14ac:dyDescent="0.3">
      <c r="A355" t="s">
        <v>5497</v>
      </c>
      <c r="B355" t="s">
        <v>812</v>
      </c>
      <c r="C355" t="s">
        <v>249</v>
      </c>
      <c r="D355" s="1">
        <v>46061</v>
      </c>
      <c r="E355" t="s">
        <v>12</v>
      </c>
      <c r="F355" t="s">
        <v>6181</v>
      </c>
      <c r="G35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55">
        <f>Payment_Dataset[[#This Row],[Total Amount]]-Payment_Dataset[[#This Row],[Amount_Paid]]</f>
        <v>24000</v>
      </c>
      <c r="I355">
        <v>0</v>
      </c>
      <c r="J355">
        <v>24000</v>
      </c>
      <c r="K355">
        <v>24000</v>
      </c>
      <c r="L355" t="s">
        <v>4796</v>
      </c>
      <c r="M355" t="s">
        <v>5498</v>
      </c>
    </row>
    <row r="356" spans="1:13" x14ac:dyDescent="0.3">
      <c r="A356" t="s">
        <v>5499</v>
      </c>
      <c r="B356" t="s">
        <v>814</v>
      </c>
      <c r="C356" t="s">
        <v>2774</v>
      </c>
      <c r="D356" s="1">
        <v>46027</v>
      </c>
      <c r="E356" t="s">
        <v>38</v>
      </c>
      <c r="F356" t="s">
        <v>6180</v>
      </c>
      <c r="G35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25000</v>
      </c>
      <c r="H356">
        <f>Payment_Dataset[[#This Row],[Total Amount]]-Payment_Dataset[[#This Row],[Amount_Paid]]</f>
        <v>0</v>
      </c>
      <c r="I356">
        <v>25000</v>
      </c>
      <c r="J356">
        <v>0</v>
      </c>
      <c r="K356">
        <v>25000</v>
      </c>
      <c r="L356" t="s">
        <v>4796</v>
      </c>
      <c r="M356" t="s">
        <v>5500</v>
      </c>
    </row>
    <row r="357" spans="1:13" x14ac:dyDescent="0.3">
      <c r="A357" t="s">
        <v>5501</v>
      </c>
      <c r="B357" t="s">
        <v>816</v>
      </c>
      <c r="C357" t="s">
        <v>809</v>
      </c>
      <c r="D357" s="1">
        <v>46050</v>
      </c>
      <c r="E357" t="s">
        <v>76</v>
      </c>
      <c r="F357" t="s">
        <v>6183</v>
      </c>
      <c r="G35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57">
        <f>Payment_Dataset[[#This Row],[Total Amount]]-Payment_Dataset[[#This Row],[Amount_Paid]]</f>
        <v>0</v>
      </c>
      <c r="I357">
        <v>0</v>
      </c>
      <c r="J357">
        <v>0</v>
      </c>
      <c r="K357">
        <v>0</v>
      </c>
      <c r="L357" t="s">
        <v>6178</v>
      </c>
      <c r="M357" t="s">
        <v>5502</v>
      </c>
    </row>
    <row r="358" spans="1:13" x14ac:dyDescent="0.3">
      <c r="A358" t="s">
        <v>5503</v>
      </c>
      <c r="B358" t="s">
        <v>818</v>
      </c>
      <c r="C358" t="s">
        <v>3090</v>
      </c>
      <c r="D358" s="1">
        <v>46115</v>
      </c>
      <c r="E358" t="s">
        <v>12</v>
      </c>
      <c r="F358" t="s">
        <v>6181</v>
      </c>
      <c r="G35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58">
        <f>Payment_Dataset[[#This Row],[Total Amount]]-Payment_Dataset[[#This Row],[Amount_Paid]]</f>
        <v>42000</v>
      </c>
      <c r="I358">
        <v>0</v>
      </c>
      <c r="J358">
        <v>42000</v>
      </c>
      <c r="K358">
        <v>42000</v>
      </c>
      <c r="L358" t="s">
        <v>4793</v>
      </c>
      <c r="M358" t="s">
        <v>5504</v>
      </c>
    </row>
    <row r="359" spans="1:13" x14ac:dyDescent="0.3">
      <c r="A359" t="s">
        <v>5505</v>
      </c>
      <c r="B359" t="s">
        <v>820</v>
      </c>
      <c r="C359" t="s">
        <v>4249</v>
      </c>
      <c r="D359" s="1">
        <v>46125</v>
      </c>
      <c r="E359" t="s">
        <v>38</v>
      </c>
      <c r="F359" t="s">
        <v>6180</v>
      </c>
      <c r="G35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56000</v>
      </c>
      <c r="H359">
        <f>Payment_Dataset[[#This Row],[Total Amount]]-Payment_Dataset[[#This Row],[Amount_Paid]]</f>
        <v>0</v>
      </c>
      <c r="I359">
        <v>56000</v>
      </c>
      <c r="J359">
        <v>0</v>
      </c>
      <c r="K359">
        <v>56000</v>
      </c>
      <c r="L359" t="s">
        <v>4790</v>
      </c>
      <c r="M359" t="s">
        <v>5506</v>
      </c>
    </row>
    <row r="360" spans="1:13" x14ac:dyDescent="0.3">
      <c r="A360" t="s">
        <v>5507</v>
      </c>
      <c r="B360" t="s">
        <v>822</v>
      </c>
      <c r="C360" t="s">
        <v>472</v>
      </c>
      <c r="D360" s="1">
        <v>46199</v>
      </c>
      <c r="E360" t="s">
        <v>12</v>
      </c>
      <c r="F360" t="s">
        <v>6181</v>
      </c>
      <c r="G36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60">
        <f>Payment_Dataset[[#This Row],[Total Amount]]-Payment_Dataset[[#This Row],[Amount_Paid]]</f>
        <v>31200</v>
      </c>
      <c r="I360">
        <v>0</v>
      </c>
      <c r="J360">
        <v>31200</v>
      </c>
      <c r="K360">
        <v>31200</v>
      </c>
      <c r="L360" t="s">
        <v>4790</v>
      </c>
      <c r="M360" t="s">
        <v>5508</v>
      </c>
    </row>
    <row r="361" spans="1:13" x14ac:dyDescent="0.3">
      <c r="A361" t="s">
        <v>5509</v>
      </c>
      <c r="B361" t="s">
        <v>824</v>
      </c>
      <c r="C361" t="s">
        <v>2415</v>
      </c>
      <c r="D361" s="1">
        <v>46162</v>
      </c>
      <c r="E361" t="s">
        <v>12</v>
      </c>
      <c r="F361" t="s">
        <v>6181</v>
      </c>
      <c r="G36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61">
        <f>Payment_Dataset[[#This Row],[Total Amount]]-Payment_Dataset[[#This Row],[Amount_Paid]]</f>
        <v>63000</v>
      </c>
      <c r="I361">
        <v>0</v>
      </c>
      <c r="J361">
        <v>63000</v>
      </c>
      <c r="K361">
        <v>63000</v>
      </c>
      <c r="L361" t="s">
        <v>4793</v>
      </c>
      <c r="M361" t="s">
        <v>5510</v>
      </c>
    </row>
    <row r="362" spans="1:13" x14ac:dyDescent="0.3">
      <c r="A362" t="s">
        <v>5511</v>
      </c>
      <c r="B362" t="s">
        <v>826</v>
      </c>
      <c r="C362" t="s">
        <v>771</v>
      </c>
      <c r="D362" s="1">
        <v>46192</v>
      </c>
      <c r="E362" t="s">
        <v>38</v>
      </c>
      <c r="F362" t="s">
        <v>6180</v>
      </c>
      <c r="G36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44000</v>
      </c>
      <c r="H362">
        <f>Payment_Dataset[[#This Row],[Total Amount]]-Payment_Dataset[[#This Row],[Amount_Paid]]</f>
        <v>0</v>
      </c>
      <c r="I362">
        <v>44000</v>
      </c>
      <c r="J362">
        <v>0</v>
      </c>
      <c r="K362">
        <v>44000</v>
      </c>
      <c r="L362" t="s">
        <v>4796</v>
      </c>
      <c r="M362" t="s">
        <v>5512</v>
      </c>
    </row>
    <row r="363" spans="1:13" x14ac:dyDescent="0.3">
      <c r="A363" t="s">
        <v>5513</v>
      </c>
      <c r="B363" t="s">
        <v>828</v>
      </c>
      <c r="C363" t="s">
        <v>151</v>
      </c>
      <c r="D363" s="1">
        <v>46188</v>
      </c>
      <c r="E363" t="s">
        <v>49</v>
      </c>
      <c r="F363" t="s">
        <v>6182</v>
      </c>
      <c r="G36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4900</v>
      </c>
      <c r="H363">
        <f>Payment_Dataset[[#This Row],[Total Amount]]-Payment_Dataset[[#This Row],[Amount_Paid]]</f>
        <v>9100</v>
      </c>
      <c r="I363">
        <v>4900</v>
      </c>
      <c r="J363">
        <v>9100</v>
      </c>
      <c r="K363">
        <v>14000</v>
      </c>
      <c r="L363" t="s">
        <v>4793</v>
      </c>
      <c r="M363" t="s">
        <v>5514</v>
      </c>
    </row>
    <row r="364" spans="1:13" x14ac:dyDescent="0.3">
      <c r="A364" t="s">
        <v>5515</v>
      </c>
      <c r="B364" t="s">
        <v>830</v>
      </c>
      <c r="C364" t="s">
        <v>3921</v>
      </c>
      <c r="D364" s="1">
        <v>46069</v>
      </c>
      <c r="E364" t="s">
        <v>12</v>
      </c>
      <c r="F364" t="s">
        <v>6181</v>
      </c>
      <c r="G36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64">
        <f>Payment_Dataset[[#This Row],[Total Amount]]-Payment_Dataset[[#This Row],[Amount_Paid]]</f>
        <v>37800</v>
      </c>
      <c r="I364">
        <v>0</v>
      </c>
      <c r="J364">
        <v>37800</v>
      </c>
      <c r="K364">
        <v>37800</v>
      </c>
      <c r="L364" t="s">
        <v>4799</v>
      </c>
      <c r="M364" t="s">
        <v>5516</v>
      </c>
    </row>
    <row r="365" spans="1:13" x14ac:dyDescent="0.3">
      <c r="A365" t="s">
        <v>5517</v>
      </c>
      <c r="B365" t="s">
        <v>832</v>
      </c>
      <c r="C365" t="s">
        <v>3381</v>
      </c>
      <c r="D365" s="1">
        <v>46183</v>
      </c>
      <c r="E365" t="s">
        <v>12</v>
      </c>
      <c r="F365" t="s">
        <v>6181</v>
      </c>
      <c r="G36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65">
        <f>Payment_Dataset[[#This Row],[Total Amount]]-Payment_Dataset[[#This Row],[Amount_Paid]]</f>
        <v>21000</v>
      </c>
      <c r="I365">
        <v>0</v>
      </c>
      <c r="J365">
        <v>21000</v>
      </c>
      <c r="K365">
        <v>21000</v>
      </c>
      <c r="L365" t="s">
        <v>4796</v>
      </c>
      <c r="M365" t="s">
        <v>5518</v>
      </c>
    </row>
    <row r="366" spans="1:13" x14ac:dyDescent="0.3">
      <c r="A366" t="s">
        <v>5519</v>
      </c>
      <c r="B366" t="s">
        <v>834</v>
      </c>
      <c r="C366" t="s">
        <v>2415</v>
      </c>
      <c r="D366" s="1">
        <v>46172</v>
      </c>
      <c r="E366" t="s">
        <v>12</v>
      </c>
      <c r="F366" t="s">
        <v>6181</v>
      </c>
      <c r="G36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66">
        <f>Payment_Dataset[[#This Row],[Total Amount]]-Payment_Dataset[[#This Row],[Amount_Paid]]</f>
        <v>7800</v>
      </c>
      <c r="I366">
        <v>0</v>
      </c>
      <c r="J366">
        <v>7800</v>
      </c>
      <c r="K366">
        <v>7800</v>
      </c>
      <c r="L366" t="s">
        <v>4796</v>
      </c>
      <c r="M366" t="s">
        <v>5520</v>
      </c>
    </row>
    <row r="367" spans="1:13" x14ac:dyDescent="0.3">
      <c r="A367" t="s">
        <v>5521</v>
      </c>
      <c r="B367" t="s">
        <v>836</v>
      </c>
      <c r="C367" t="s">
        <v>4038</v>
      </c>
      <c r="D367" s="1">
        <v>46093</v>
      </c>
      <c r="E367" t="s">
        <v>49</v>
      </c>
      <c r="F367" t="s">
        <v>6182</v>
      </c>
      <c r="G36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2275</v>
      </c>
      <c r="H367">
        <f>Payment_Dataset[[#This Row],[Total Amount]]-Payment_Dataset[[#This Row],[Amount_Paid]]</f>
        <v>4225</v>
      </c>
      <c r="I367">
        <v>2275</v>
      </c>
      <c r="J367">
        <v>4225</v>
      </c>
      <c r="K367">
        <v>6500</v>
      </c>
      <c r="L367" t="s">
        <v>4799</v>
      </c>
      <c r="M367" t="s">
        <v>5522</v>
      </c>
    </row>
    <row r="368" spans="1:13" x14ac:dyDescent="0.3">
      <c r="A368" t="s">
        <v>5523</v>
      </c>
      <c r="B368" t="s">
        <v>838</v>
      </c>
      <c r="C368" t="s">
        <v>340</v>
      </c>
      <c r="D368" s="1">
        <v>46185</v>
      </c>
      <c r="E368" t="s">
        <v>76</v>
      </c>
      <c r="F368" t="s">
        <v>6183</v>
      </c>
      <c r="G36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68">
        <f>Payment_Dataset[[#This Row],[Total Amount]]-Payment_Dataset[[#This Row],[Amount_Paid]]</f>
        <v>0</v>
      </c>
      <c r="I368">
        <v>0</v>
      </c>
      <c r="J368">
        <v>0</v>
      </c>
      <c r="K368">
        <v>0</v>
      </c>
      <c r="L368" t="s">
        <v>6178</v>
      </c>
      <c r="M368" t="s">
        <v>5524</v>
      </c>
    </row>
    <row r="369" spans="1:13" x14ac:dyDescent="0.3">
      <c r="A369" t="s">
        <v>5525</v>
      </c>
      <c r="B369" t="s">
        <v>840</v>
      </c>
      <c r="C369" t="s">
        <v>2298</v>
      </c>
      <c r="D369" s="1">
        <v>46134</v>
      </c>
      <c r="E369" t="s">
        <v>12</v>
      </c>
      <c r="F369" t="s">
        <v>6181</v>
      </c>
      <c r="G36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69">
        <f>Payment_Dataset[[#This Row],[Total Amount]]-Payment_Dataset[[#This Row],[Amount_Paid]]</f>
        <v>8000</v>
      </c>
      <c r="I369">
        <v>0</v>
      </c>
      <c r="J369">
        <v>8000</v>
      </c>
      <c r="K369">
        <v>8000</v>
      </c>
      <c r="L369" t="s">
        <v>4787</v>
      </c>
      <c r="M369" t="s">
        <v>5526</v>
      </c>
    </row>
    <row r="370" spans="1:13" x14ac:dyDescent="0.3">
      <c r="A370" t="s">
        <v>5527</v>
      </c>
      <c r="B370" t="s">
        <v>842</v>
      </c>
      <c r="C370" t="s">
        <v>2455</v>
      </c>
      <c r="D370" s="1">
        <v>46101</v>
      </c>
      <c r="E370" t="s">
        <v>12</v>
      </c>
      <c r="F370" t="s">
        <v>6181</v>
      </c>
      <c r="G37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70">
        <f>Payment_Dataset[[#This Row],[Total Amount]]-Payment_Dataset[[#This Row],[Amount_Paid]]</f>
        <v>40200</v>
      </c>
      <c r="I370">
        <v>0</v>
      </c>
      <c r="J370">
        <v>40200</v>
      </c>
      <c r="K370">
        <v>40200</v>
      </c>
      <c r="L370" t="s">
        <v>4793</v>
      </c>
      <c r="M370" t="s">
        <v>5528</v>
      </c>
    </row>
    <row r="371" spans="1:13" x14ac:dyDescent="0.3">
      <c r="A371" t="s">
        <v>5529</v>
      </c>
      <c r="B371" t="s">
        <v>844</v>
      </c>
      <c r="C371" t="s">
        <v>3240</v>
      </c>
      <c r="D371" s="1">
        <v>46029</v>
      </c>
      <c r="E371" t="s">
        <v>49</v>
      </c>
      <c r="F371" t="s">
        <v>6182</v>
      </c>
      <c r="G37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15119.999999999998</v>
      </c>
      <c r="H371">
        <f>Payment_Dataset[[#This Row],[Total Amount]]-Payment_Dataset[[#This Row],[Amount_Paid]]</f>
        <v>28080</v>
      </c>
      <c r="I371">
        <v>15120</v>
      </c>
      <c r="J371">
        <v>28080</v>
      </c>
      <c r="K371">
        <v>43200</v>
      </c>
      <c r="L371" t="s">
        <v>4799</v>
      </c>
      <c r="M371" t="s">
        <v>5530</v>
      </c>
    </row>
    <row r="372" spans="1:13" x14ac:dyDescent="0.3">
      <c r="A372" t="s">
        <v>5531</v>
      </c>
      <c r="B372" t="s">
        <v>846</v>
      </c>
      <c r="C372" t="s">
        <v>388</v>
      </c>
      <c r="D372" s="1">
        <v>46188</v>
      </c>
      <c r="E372" t="s">
        <v>38</v>
      </c>
      <c r="F372" t="s">
        <v>6180</v>
      </c>
      <c r="G37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16200</v>
      </c>
      <c r="H372">
        <f>Payment_Dataset[[#This Row],[Total Amount]]-Payment_Dataset[[#This Row],[Amount_Paid]]</f>
        <v>0</v>
      </c>
      <c r="I372">
        <v>16200</v>
      </c>
      <c r="J372">
        <v>0</v>
      </c>
      <c r="K372">
        <v>16200</v>
      </c>
      <c r="L372" t="s">
        <v>4793</v>
      </c>
      <c r="M372" t="s">
        <v>5532</v>
      </c>
    </row>
    <row r="373" spans="1:13" x14ac:dyDescent="0.3">
      <c r="A373" t="s">
        <v>5533</v>
      </c>
      <c r="B373" t="s">
        <v>848</v>
      </c>
      <c r="C373" t="s">
        <v>3093</v>
      </c>
      <c r="D373" s="1">
        <v>46080</v>
      </c>
      <c r="E373" t="s">
        <v>49</v>
      </c>
      <c r="F373" t="s">
        <v>6182</v>
      </c>
      <c r="G37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13965</v>
      </c>
      <c r="H373">
        <f>Payment_Dataset[[#This Row],[Total Amount]]-Payment_Dataset[[#This Row],[Amount_Paid]]</f>
        <v>25935</v>
      </c>
      <c r="I373">
        <v>13965</v>
      </c>
      <c r="J373">
        <v>25935</v>
      </c>
      <c r="K373">
        <v>39900</v>
      </c>
      <c r="L373" t="s">
        <v>4793</v>
      </c>
      <c r="M373" t="s">
        <v>5534</v>
      </c>
    </row>
    <row r="374" spans="1:13" x14ac:dyDescent="0.3">
      <c r="A374" t="s">
        <v>5535</v>
      </c>
      <c r="B374" t="s">
        <v>850</v>
      </c>
      <c r="C374" t="s">
        <v>1864</v>
      </c>
      <c r="D374" s="1">
        <v>46066</v>
      </c>
      <c r="E374" t="s">
        <v>49</v>
      </c>
      <c r="F374" t="s">
        <v>6182</v>
      </c>
      <c r="G37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17150</v>
      </c>
      <c r="H374">
        <f>Payment_Dataset[[#This Row],[Total Amount]]-Payment_Dataset[[#This Row],[Amount_Paid]]</f>
        <v>31850</v>
      </c>
      <c r="I374">
        <v>17150</v>
      </c>
      <c r="J374">
        <v>31850</v>
      </c>
      <c r="K374">
        <v>49000</v>
      </c>
      <c r="L374" t="s">
        <v>4790</v>
      </c>
      <c r="M374" t="s">
        <v>5536</v>
      </c>
    </row>
    <row r="375" spans="1:13" x14ac:dyDescent="0.3">
      <c r="A375" t="s">
        <v>5537</v>
      </c>
      <c r="B375" t="s">
        <v>852</v>
      </c>
      <c r="C375" t="s">
        <v>3167</v>
      </c>
      <c r="D375" s="1">
        <v>46184</v>
      </c>
      <c r="E375" t="s">
        <v>38</v>
      </c>
      <c r="F375" t="s">
        <v>6180</v>
      </c>
      <c r="G37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26000</v>
      </c>
      <c r="H375">
        <f>Payment_Dataset[[#This Row],[Total Amount]]-Payment_Dataset[[#This Row],[Amount_Paid]]</f>
        <v>0</v>
      </c>
      <c r="I375">
        <v>26000</v>
      </c>
      <c r="J375">
        <v>0</v>
      </c>
      <c r="K375">
        <v>26000</v>
      </c>
      <c r="L375" t="s">
        <v>4796</v>
      </c>
      <c r="M375" t="s">
        <v>5538</v>
      </c>
    </row>
    <row r="376" spans="1:13" x14ac:dyDescent="0.3">
      <c r="A376" t="s">
        <v>5539</v>
      </c>
      <c r="B376" t="s">
        <v>854</v>
      </c>
      <c r="C376" t="s">
        <v>3200</v>
      </c>
      <c r="D376" s="1">
        <v>46110</v>
      </c>
      <c r="E376" t="s">
        <v>38</v>
      </c>
      <c r="F376" t="s">
        <v>6180</v>
      </c>
      <c r="G37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22500</v>
      </c>
      <c r="H376">
        <f>Payment_Dataset[[#This Row],[Total Amount]]-Payment_Dataset[[#This Row],[Amount_Paid]]</f>
        <v>0</v>
      </c>
      <c r="I376">
        <v>22500</v>
      </c>
      <c r="J376">
        <v>0</v>
      </c>
      <c r="K376">
        <v>22500</v>
      </c>
      <c r="L376" t="s">
        <v>4799</v>
      </c>
      <c r="M376" t="s">
        <v>5540</v>
      </c>
    </row>
    <row r="377" spans="1:13" x14ac:dyDescent="0.3">
      <c r="A377" t="s">
        <v>5541</v>
      </c>
      <c r="B377" t="s">
        <v>856</v>
      </c>
      <c r="C377" t="s">
        <v>853</v>
      </c>
      <c r="D377" s="1">
        <v>46186</v>
      </c>
      <c r="E377" t="s">
        <v>12</v>
      </c>
      <c r="F377" t="s">
        <v>6181</v>
      </c>
      <c r="G37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77">
        <f>Payment_Dataset[[#This Row],[Total Amount]]-Payment_Dataset[[#This Row],[Amount_Paid]]</f>
        <v>15600</v>
      </c>
      <c r="I377">
        <v>0</v>
      </c>
      <c r="J377">
        <v>15600</v>
      </c>
      <c r="K377">
        <v>15600</v>
      </c>
      <c r="L377" t="s">
        <v>4787</v>
      </c>
      <c r="M377" t="s">
        <v>5542</v>
      </c>
    </row>
    <row r="378" spans="1:13" x14ac:dyDescent="0.3">
      <c r="A378" t="s">
        <v>5543</v>
      </c>
      <c r="B378" t="s">
        <v>858</v>
      </c>
      <c r="C378" t="s">
        <v>456</v>
      </c>
      <c r="D378" s="1">
        <v>46180</v>
      </c>
      <c r="E378" t="s">
        <v>12</v>
      </c>
      <c r="F378" t="s">
        <v>6181</v>
      </c>
      <c r="G37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78">
        <f>Payment_Dataset[[#This Row],[Total Amount]]-Payment_Dataset[[#This Row],[Amount_Paid]]</f>
        <v>14100</v>
      </c>
      <c r="I378">
        <v>0</v>
      </c>
      <c r="J378">
        <v>14100</v>
      </c>
      <c r="K378">
        <v>14100</v>
      </c>
      <c r="L378" t="s">
        <v>4793</v>
      </c>
      <c r="M378" t="s">
        <v>5544</v>
      </c>
    </row>
    <row r="379" spans="1:13" x14ac:dyDescent="0.3">
      <c r="A379" t="s">
        <v>5545</v>
      </c>
      <c r="B379" t="s">
        <v>860</v>
      </c>
      <c r="C379" t="s">
        <v>3171</v>
      </c>
      <c r="D379" s="1">
        <v>46132</v>
      </c>
      <c r="E379" t="s">
        <v>12</v>
      </c>
      <c r="F379" t="s">
        <v>6181</v>
      </c>
      <c r="G37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79">
        <f>Payment_Dataset[[#This Row],[Total Amount]]-Payment_Dataset[[#This Row],[Amount_Paid]]</f>
        <v>24000</v>
      </c>
      <c r="I379">
        <v>0</v>
      </c>
      <c r="J379">
        <v>24000</v>
      </c>
      <c r="K379">
        <v>24000</v>
      </c>
      <c r="L379" t="s">
        <v>4796</v>
      </c>
      <c r="M379" t="s">
        <v>5546</v>
      </c>
    </row>
    <row r="380" spans="1:13" x14ac:dyDescent="0.3">
      <c r="A380" t="s">
        <v>5547</v>
      </c>
      <c r="B380" t="s">
        <v>862</v>
      </c>
      <c r="C380" t="s">
        <v>598</v>
      </c>
      <c r="D380" s="1">
        <v>46122</v>
      </c>
      <c r="E380" t="s">
        <v>49</v>
      </c>
      <c r="F380" t="s">
        <v>6182</v>
      </c>
      <c r="G38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7559.9999999999991</v>
      </c>
      <c r="H380">
        <f>Payment_Dataset[[#This Row],[Total Amount]]-Payment_Dataset[[#This Row],[Amount_Paid]]</f>
        <v>14040</v>
      </c>
      <c r="I380">
        <v>7560</v>
      </c>
      <c r="J380">
        <v>14040</v>
      </c>
      <c r="K380">
        <v>21600</v>
      </c>
      <c r="L380" t="s">
        <v>4787</v>
      </c>
      <c r="M380" t="s">
        <v>5548</v>
      </c>
    </row>
    <row r="381" spans="1:13" x14ac:dyDescent="0.3">
      <c r="A381" t="s">
        <v>5549</v>
      </c>
      <c r="B381" t="s">
        <v>864</v>
      </c>
      <c r="C381" t="s">
        <v>2049</v>
      </c>
      <c r="D381" s="1">
        <v>46150</v>
      </c>
      <c r="E381" t="s">
        <v>12</v>
      </c>
      <c r="F381" t="s">
        <v>6181</v>
      </c>
      <c r="G38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81">
        <f>Payment_Dataset[[#This Row],[Total Amount]]-Payment_Dataset[[#This Row],[Amount_Paid]]</f>
        <v>21000</v>
      </c>
      <c r="I381">
        <v>0</v>
      </c>
      <c r="J381">
        <v>21000</v>
      </c>
      <c r="K381">
        <v>21000</v>
      </c>
      <c r="L381" t="s">
        <v>4793</v>
      </c>
      <c r="M381" t="s">
        <v>5550</v>
      </c>
    </row>
    <row r="382" spans="1:13" x14ac:dyDescent="0.3">
      <c r="A382" t="s">
        <v>5551</v>
      </c>
      <c r="B382" t="s">
        <v>866</v>
      </c>
      <c r="C382" t="s">
        <v>2828</v>
      </c>
      <c r="D382" s="1">
        <v>46038</v>
      </c>
      <c r="E382" t="s">
        <v>12</v>
      </c>
      <c r="F382" t="s">
        <v>6181</v>
      </c>
      <c r="G38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82">
        <f>Payment_Dataset[[#This Row],[Total Amount]]-Payment_Dataset[[#This Row],[Amount_Paid]]</f>
        <v>46200</v>
      </c>
      <c r="I382">
        <v>0</v>
      </c>
      <c r="J382">
        <v>46200</v>
      </c>
      <c r="K382">
        <v>46200</v>
      </c>
      <c r="L382" t="s">
        <v>4793</v>
      </c>
      <c r="M382" t="s">
        <v>5552</v>
      </c>
    </row>
    <row r="383" spans="1:13" x14ac:dyDescent="0.3">
      <c r="A383" t="s">
        <v>5553</v>
      </c>
      <c r="B383" t="s">
        <v>868</v>
      </c>
      <c r="C383" t="s">
        <v>3459</v>
      </c>
      <c r="D383" s="1">
        <v>46106</v>
      </c>
      <c r="E383" t="s">
        <v>49</v>
      </c>
      <c r="F383" t="s">
        <v>6182</v>
      </c>
      <c r="G38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8225</v>
      </c>
      <c r="H383">
        <f>Payment_Dataset[[#This Row],[Total Amount]]-Payment_Dataset[[#This Row],[Amount_Paid]]</f>
        <v>15275</v>
      </c>
      <c r="I383">
        <v>8225</v>
      </c>
      <c r="J383">
        <v>15275</v>
      </c>
      <c r="K383">
        <v>23500</v>
      </c>
      <c r="L383" t="s">
        <v>4796</v>
      </c>
      <c r="M383" t="s">
        <v>5554</v>
      </c>
    </row>
    <row r="384" spans="1:13" x14ac:dyDescent="0.3">
      <c r="A384" t="s">
        <v>5555</v>
      </c>
      <c r="B384" t="s">
        <v>870</v>
      </c>
      <c r="C384" t="s">
        <v>1960</v>
      </c>
      <c r="D384" s="1">
        <v>46186</v>
      </c>
      <c r="E384" t="s">
        <v>12</v>
      </c>
      <c r="F384" t="s">
        <v>6181</v>
      </c>
      <c r="G38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84">
        <f>Payment_Dataset[[#This Row],[Total Amount]]-Payment_Dataset[[#This Row],[Amount_Paid]]</f>
        <v>4000</v>
      </c>
      <c r="I384">
        <v>0</v>
      </c>
      <c r="J384">
        <v>4000</v>
      </c>
      <c r="K384">
        <v>4000</v>
      </c>
      <c r="L384" t="s">
        <v>4799</v>
      </c>
      <c r="M384" t="s">
        <v>5556</v>
      </c>
    </row>
    <row r="385" spans="1:13" x14ac:dyDescent="0.3">
      <c r="A385" t="s">
        <v>5557</v>
      </c>
      <c r="B385" t="s">
        <v>872</v>
      </c>
      <c r="C385" t="s">
        <v>684</v>
      </c>
      <c r="D385" s="1">
        <v>46067</v>
      </c>
      <c r="E385" t="s">
        <v>38</v>
      </c>
      <c r="F385" t="s">
        <v>6180</v>
      </c>
      <c r="G38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24000</v>
      </c>
      <c r="H385">
        <f>Payment_Dataset[[#This Row],[Total Amount]]-Payment_Dataset[[#This Row],[Amount_Paid]]</f>
        <v>0</v>
      </c>
      <c r="I385">
        <v>24000</v>
      </c>
      <c r="J385">
        <v>0</v>
      </c>
      <c r="K385">
        <v>24000</v>
      </c>
      <c r="L385" t="s">
        <v>4793</v>
      </c>
      <c r="M385" t="s">
        <v>5558</v>
      </c>
    </row>
    <row r="386" spans="1:13" x14ac:dyDescent="0.3">
      <c r="A386" t="s">
        <v>5559</v>
      </c>
      <c r="B386" t="s">
        <v>874</v>
      </c>
      <c r="C386" t="s">
        <v>1102</v>
      </c>
      <c r="D386" s="1">
        <v>46195</v>
      </c>
      <c r="E386" t="s">
        <v>12</v>
      </c>
      <c r="F386" t="s">
        <v>6181</v>
      </c>
      <c r="G38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86">
        <f>Payment_Dataset[[#This Row],[Total Amount]]-Payment_Dataset[[#This Row],[Amount_Paid]]</f>
        <v>28000</v>
      </c>
      <c r="I386">
        <v>0</v>
      </c>
      <c r="J386">
        <v>28000</v>
      </c>
      <c r="K386">
        <v>28000</v>
      </c>
      <c r="L386" t="s">
        <v>4787</v>
      </c>
      <c r="M386" t="s">
        <v>5560</v>
      </c>
    </row>
    <row r="387" spans="1:13" x14ac:dyDescent="0.3">
      <c r="A387" t="s">
        <v>5561</v>
      </c>
      <c r="B387" t="s">
        <v>876</v>
      </c>
      <c r="C387" t="s">
        <v>2943</v>
      </c>
      <c r="D387" s="1">
        <v>46059</v>
      </c>
      <c r="E387" t="s">
        <v>12</v>
      </c>
      <c r="F387" t="s">
        <v>6181</v>
      </c>
      <c r="G38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87">
        <f>Payment_Dataset[[#This Row],[Total Amount]]-Payment_Dataset[[#This Row],[Amount_Paid]]</f>
        <v>8000</v>
      </c>
      <c r="I387">
        <v>0</v>
      </c>
      <c r="J387">
        <v>8000</v>
      </c>
      <c r="K387">
        <v>8000</v>
      </c>
      <c r="L387" t="s">
        <v>4790</v>
      </c>
      <c r="M387" t="s">
        <v>5562</v>
      </c>
    </row>
    <row r="388" spans="1:13" x14ac:dyDescent="0.3">
      <c r="A388" t="s">
        <v>5563</v>
      </c>
      <c r="B388" t="s">
        <v>878</v>
      </c>
      <c r="C388" t="s">
        <v>2764</v>
      </c>
      <c r="D388" s="1">
        <v>46032</v>
      </c>
      <c r="E388" t="s">
        <v>12</v>
      </c>
      <c r="F388" t="s">
        <v>6181</v>
      </c>
      <c r="G38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88">
        <f>Payment_Dataset[[#This Row],[Total Amount]]-Payment_Dataset[[#This Row],[Amount_Paid]]</f>
        <v>33000</v>
      </c>
      <c r="I388">
        <v>0</v>
      </c>
      <c r="J388">
        <v>33000</v>
      </c>
      <c r="K388">
        <v>33000</v>
      </c>
      <c r="L388" t="s">
        <v>4796</v>
      </c>
      <c r="M388" t="s">
        <v>5564</v>
      </c>
    </row>
    <row r="389" spans="1:13" x14ac:dyDescent="0.3">
      <c r="A389" t="s">
        <v>5565</v>
      </c>
      <c r="B389" t="s">
        <v>880</v>
      </c>
      <c r="C389" t="s">
        <v>251</v>
      </c>
      <c r="D389" s="1">
        <v>46081</v>
      </c>
      <c r="E389" t="s">
        <v>38</v>
      </c>
      <c r="F389" t="s">
        <v>6180</v>
      </c>
      <c r="G38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10400</v>
      </c>
      <c r="H389">
        <f>Payment_Dataset[[#This Row],[Total Amount]]-Payment_Dataset[[#This Row],[Amount_Paid]]</f>
        <v>0</v>
      </c>
      <c r="I389">
        <v>10400</v>
      </c>
      <c r="J389">
        <v>0</v>
      </c>
      <c r="K389">
        <v>10400</v>
      </c>
      <c r="L389" t="s">
        <v>4787</v>
      </c>
      <c r="M389" t="s">
        <v>5566</v>
      </c>
    </row>
    <row r="390" spans="1:13" x14ac:dyDescent="0.3">
      <c r="A390" t="s">
        <v>5567</v>
      </c>
      <c r="B390" t="s">
        <v>882</v>
      </c>
      <c r="C390" t="s">
        <v>474</v>
      </c>
      <c r="D390" s="1">
        <v>46124</v>
      </c>
      <c r="E390" t="s">
        <v>12</v>
      </c>
      <c r="F390" t="s">
        <v>6181</v>
      </c>
      <c r="G39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90">
        <f>Payment_Dataset[[#This Row],[Total Amount]]-Payment_Dataset[[#This Row],[Amount_Paid]]</f>
        <v>28000</v>
      </c>
      <c r="I390">
        <v>0</v>
      </c>
      <c r="J390">
        <v>28000</v>
      </c>
      <c r="K390">
        <v>28000</v>
      </c>
      <c r="L390" t="s">
        <v>4787</v>
      </c>
      <c r="M390" t="s">
        <v>5568</v>
      </c>
    </row>
    <row r="391" spans="1:13" x14ac:dyDescent="0.3">
      <c r="A391" t="s">
        <v>5569</v>
      </c>
      <c r="B391" t="s">
        <v>884</v>
      </c>
      <c r="C391" t="s">
        <v>151</v>
      </c>
      <c r="D391" s="1">
        <v>46076</v>
      </c>
      <c r="E391" t="s">
        <v>38</v>
      </c>
      <c r="F391" t="s">
        <v>6180</v>
      </c>
      <c r="G39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21000</v>
      </c>
      <c r="H391">
        <f>Payment_Dataset[[#This Row],[Total Amount]]-Payment_Dataset[[#This Row],[Amount_Paid]]</f>
        <v>0</v>
      </c>
      <c r="I391">
        <v>21000</v>
      </c>
      <c r="J391">
        <v>0</v>
      </c>
      <c r="K391">
        <v>21000</v>
      </c>
      <c r="L391" t="s">
        <v>4787</v>
      </c>
      <c r="M391" t="s">
        <v>5570</v>
      </c>
    </row>
    <row r="392" spans="1:13" x14ac:dyDescent="0.3">
      <c r="A392" t="s">
        <v>5571</v>
      </c>
      <c r="B392" t="s">
        <v>886</v>
      </c>
      <c r="C392" t="s">
        <v>56</v>
      </c>
      <c r="D392" s="1">
        <v>46169</v>
      </c>
      <c r="E392" t="s">
        <v>76</v>
      </c>
      <c r="F392" t="s">
        <v>6183</v>
      </c>
      <c r="G39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92">
        <f>Payment_Dataset[[#This Row],[Total Amount]]-Payment_Dataset[[#This Row],[Amount_Paid]]</f>
        <v>0</v>
      </c>
      <c r="I392">
        <v>0</v>
      </c>
      <c r="J392">
        <v>0</v>
      </c>
      <c r="K392">
        <v>0</v>
      </c>
      <c r="L392" t="s">
        <v>6178</v>
      </c>
      <c r="M392" t="s">
        <v>5572</v>
      </c>
    </row>
    <row r="393" spans="1:13" x14ac:dyDescent="0.3">
      <c r="A393" t="s">
        <v>5573</v>
      </c>
      <c r="B393" t="s">
        <v>888</v>
      </c>
      <c r="C393" t="s">
        <v>218</v>
      </c>
      <c r="D393" s="1">
        <v>46159</v>
      </c>
      <c r="E393" t="s">
        <v>12</v>
      </c>
      <c r="F393" t="s">
        <v>6181</v>
      </c>
      <c r="G39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93">
        <f>Payment_Dataset[[#This Row],[Total Amount]]-Payment_Dataset[[#This Row],[Amount_Paid]]</f>
        <v>30000</v>
      </c>
      <c r="I393">
        <v>0</v>
      </c>
      <c r="J393">
        <v>30000</v>
      </c>
      <c r="K393">
        <v>30000</v>
      </c>
      <c r="L393" t="s">
        <v>4793</v>
      </c>
      <c r="M393" t="s">
        <v>5574</v>
      </c>
    </row>
    <row r="394" spans="1:13" x14ac:dyDescent="0.3">
      <c r="A394" t="s">
        <v>5575</v>
      </c>
      <c r="B394" t="s">
        <v>890</v>
      </c>
      <c r="C394" t="s">
        <v>3098</v>
      </c>
      <c r="D394" s="1">
        <v>46139</v>
      </c>
      <c r="E394" t="s">
        <v>38</v>
      </c>
      <c r="F394" t="s">
        <v>6180</v>
      </c>
      <c r="G39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7400</v>
      </c>
      <c r="H394">
        <f>Payment_Dataset[[#This Row],[Total Amount]]-Payment_Dataset[[#This Row],[Amount_Paid]]</f>
        <v>0</v>
      </c>
      <c r="I394">
        <v>7400</v>
      </c>
      <c r="J394">
        <v>0</v>
      </c>
      <c r="K394">
        <v>7400</v>
      </c>
      <c r="L394" t="s">
        <v>4790</v>
      </c>
      <c r="M394" t="s">
        <v>5576</v>
      </c>
    </row>
    <row r="395" spans="1:13" x14ac:dyDescent="0.3">
      <c r="A395" t="s">
        <v>5577</v>
      </c>
      <c r="B395" t="s">
        <v>892</v>
      </c>
      <c r="C395" t="s">
        <v>409</v>
      </c>
      <c r="D395" s="1">
        <v>46140</v>
      </c>
      <c r="E395" t="s">
        <v>12</v>
      </c>
      <c r="F395" t="s">
        <v>6181</v>
      </c>
      <c r="G39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95">
        <f>Payment_Dataset[[#This Row],[Total Amount]]-Payment_Dataset[[#This Row],[Amount_Paid]]</f>
        <v>35000</v>
      </c>
      <c r="I395">
        <v>0</v>
      </c>
      <c r="J395">
        <v>35000</v>
      </c>
      <c r="K395">
        <v>35000</v>
      </c>
      <c r="L395" t="s">
        <v>4799</v>
      </c>
      <c r="M395" t="s">
        <v>5578</v>
      </c>
    </row>
    <row r="396" spans="1:13" x14ac:dyDescent="0.3">
      <c r="A396" t="s">
        <v>5579</v>
      </c>
      <c r="B396" t="s">
        <v>894</v>
      </c>
      <c r="C396" t="s">
        <v>1613</v>
      </c>
      <c r="D396" s="1">
        <v>46147</v>
      </c>
      <c r="E396" t="s">
        <v>12</v>
      </c>
      <c r="F396" t="s">
        <v>6181</v>
      </c>
      <c r="G39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96">
        <f>Payment_Dataset[[#This Row],[Total Amount]]-Payment_Dataset[[#This Row],[Amount_Paid]]</f>
        <v>58100</v>
      </c>
      <c r="I396">
        <v>0</v>
      </c>
      <c r="J396">
        <v>58100</v>
      </c>
      <c r="K396">
        <v>58100</v>
      </c>
      <c r="L396" t="s">
        <v>4787</v>
      </c>
      <c r="M396" t="s">
        <v>5580</v>
      </c>
    </row>
    <row r="397" spans="1:13" x14ac:dyDescent="0.3">
      <c r="A397" t="s">
        <v>5581</v>
      </c>
      <c r="B397" t="s">
        <v>897</v>
      </c>
      <c r="C397" t="s">
        <v>2945</v>
      </c>
      <c r="D397" s="1">
        <v>46195</v>
      </c>
      <c r="E397" t="s">
        <v>12</v>
      </c>
      <c r="F397" t="s">
        <v>6181</v>
      </c>
      <c r="G39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97">
        <f>Payment_Dataset[[#This Row],[Total Amount]]-Payment_Dataset[[#This Row],[Amount_Paid]]</f>
        <v>21000</v>
      </c>
      <c r="I397">
        <v>0</v>
      </c>
      <c r="J397">
        <v>21000</v>
      </c>
      <c r="K397">
        <v>21000</v>
      </c>
      <c r="L397" t="s">
        <v>4796</v>
      </c>
      <c r="M397" t="s">
        <v>5582</v>
      </c>
    </row>
    <row r="398" spans="1:13" x14ac:dyDescent="0.3">
      <c r="A398" t="s">
        <v>5583</v>
      </c>
      <c r="B398" t="s">
        <v>899</v>
      </c>
      <c r="C398" t="s">
        <v>4393</v>
      </c>
      <c r="D398" s="1">
        <v>46171</v>
      </c>
      <c r="E398" t="s">
        <v>38</v>
      </c>
      <c r="F398" t="s">
        <v>6180</v>
      </c>
      <c r="G39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13400</v>
      </c>
      <c r="H398">
        <f>Payment_Dataset[[#This Row],[Total Amount]]-Payment_Dataset[[#This Row],[Amount_Paid]]</f>
        <v>0</v>
      </c>
      <c r="I398">
        <v>13400</v>
      </c>
      <c r="J398">
        <v>0</v>
      </c>
      <c r="K398">
        <v>13400</v>
      </c>
      <c r="L398" t="s">
        <v>4787</v>
      </c>
      <c r="M398" t="s">
        <v>5584</v>
      </c>
    </row>
    <row r="399" spans="1:13" x14ac:dyDescent="0.3">
      <c r="A399" t="s">
        <v>5585</v>
      </c>
      <c r="B399" t="s">
        <v>901</v>
      </c>
      <c r="C399" t="s">
        <v>2978</v>
      </c>
      <c r="D399" s="1">
        <v>46177</v>
      </c>
      <c r="E399" t="s">
        <v>12</v>
      </c>
      <c r="F399" t="s">
        <v>6181</v>
      </c>
      <c r="G39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399">
        <f>Payment_Dataset[[#This Row],[Total Amount]]-Payment_Dataset[[#This Row],[Amount_Paid]]</f>
        <v>18600</v>
      </c>
      <c r="I399">
        <v>0</v>
      </c>
      <c r="J399">
        <v>18600</v>
      </c>
      <c r="K399">
        <v>18600</v>
      </c>
      <c r="L399" t="s">
        <v>4796</v>
      </c>
      <c r="M399" t="s">
        <v>5586</v>
      </c>
    </row>
    <row r="400" spans="1:13" x14ac:dyDescent="0.3">
      <c r="A400" t="s">
        <v>5587</v>
      </c>
      <c r="B400" t="s">
        <v>903</v>
      </c>
      <c r="C400" t="s">
        <v>2839</v>
      </c>
      <c r="D400" s="1">
        <v>46172</v>
      </c>
      <c r="E400" t="s">
        <v>38</v>
      </c>
      <c r="F400" t="s">
        <v>6180</v>
      </c>
      <c r="G40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6700</v>
      </c>
      <c r="H400">
        <f>Payment_Dataset[[#This Row],[Total Amount]]-Payment_Dataset[[#This Row],[Amount_Paid]]</f>
        <v>0</v>
      </c>
      <c r="I400">
        <v>6700</v>
      </c>
      <c r="J400">
        <v>0</v>
      </c>
      <c r="K400">
        <v>6700</v>
      </c>
      <c r="L400" t="s">
        <v>4787</v>
      </c>
      <c r="M400" t="s">
        <v>5588</v>
      </c>
    </row>
    <row r="401" spans="1:13" x14ac:dyDescent="0.3">
      <c r="A401" t="s">
        <v>5589</v>
      </c>
      <c r="B401" t="s">
        <v>905</v>
      </c>
      <c r="C401" t="s">
        <v>2258</v>
      </c>
      <c r="D401" s="1">
        <v>46155</v>
      </c>
      <c r="E401" t="s">
        <v>38</v>
      </c>
      <c r="F401" t="s">
        <v>6180</v>
      </c>
      <c r="G40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10000</v>
      </c>
      <c r="H401">
        <f>Payment_Dataset[[#This Row],[Total Amount]]-Payment_Dataset[[#This Row],[Amount_Paid]]</f>
        <v>0</v>
      </c>
      <c r="I401">
        <v>10000</v>
      </c>
      <c r="J401">
        <v>0</v>
      </c>
      <c r="K401">
        <v>10000</v>
      </c>
      <c r="L401" t="s">
        <v>4793</v>
      </c>
      <c r="M401" t="s">
        <v>5590</v>
      </c>
    </row>
    <row r="402" spans="1:13" x14ac:dyDescent="0.3">
      <c r="A402" t="s">
        <v>5591</v>
      </c>
      <c r="B402" t="s">
        <v>907</v>
      </c>
      <c r="C402" t="s">
        <v>3377</v>
      </c>
      <c r="D402" s="1">
        <v>46095</v>
      </c>
      <c r="E402" t="s">
        <v>12</v>
      </c>
      <c r="F402" t="s">
        <v>6181</v>
      </c>
      <c r="G40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02">
        <f>Payment_Dataset[[#This Row],[Total Amount]]-Payment_Dataset[[#This Row],[Amount_Paid]]</f>
        <v>32000</v>
      </c>
      <c r="I402">
        <v>0</v>
      </c>
      <c r="J402">
        <v>32000</v>
      </c>
      <c r="K402">
        <v>32000</v>
      </c>
      <c r="L402" t="s">
        <v>4790</v>
      </c>
      <c r="M402" t="s">
        <v>5592</v>
      </c>
    </row>
    <row r="403" spans="1:13" x14ac:dyDescent="0.3">
      <c r="A403" t="s">
        <v>5593</v>
      </c>
      <c r="B403" t="s">
        <v>909</v>
      </c>
      <c r="C403" t="s">
        <v>3429</v>
      </c>
      <c r="D403" s="1">
        <v>46100</v>
      </c>
      <c r="E403" t="s">
        <v>12</v>
      </c>
      <c r="F403" t="s">
        <v>6181</v>
      </c>
      <c r="G40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03">
        <f>Payment_Dataset[[#This Row],[Total Amount]]-Payment_Dataset[[#This Row],[Amount_Paid]]</f>
        <v>20000</v>
      </c>
      <c r="I403">
        <v>0</v>
      </c>
      <c r="J403">
        <v>20000</v>
      </c>
      <c r="K403">
        <v>20000</v>
      </c>
      <c r="L403" t="s">
        <v>4790</v>
      </c>
      <c r="M403" t="s">
        <v>5594</v>
      </c>
    </row>
    <row r="404" spans="1:13" x14ac:dyDescent="0.3">
      <c r="A404" t="s">
        <v>5595</v>
      </c>
      <c r="B404" t="s">
        <v>911</v>
      </c>
      <c r="C404" t="s">
        <v>3356</v>
      </c>
      <c r="D404" s="1">
        <v>46110</v>
      </c>
      <c r="E404" t="s">
        <v>12</v>
      </c>
      <c r="F404" t="s">
        <v>6181</v>
      </c>
      <c r="G40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04">
        <f>Payment_Dataset[[#This Row],[Total Amount]]-Payment_Dataset[[#This Row],[Amount_Paid]]</f>
        <v>39000</v>
      </c>
      <c r="I404">
        <v>0</v>
      </c>
      <c r="J404">
        <v>39000</v>
      </c>
      <c r="K404">
        <v>39000</v>
      </c>
      <c r="L404" t="s">
        <v>4790</v>
      </c>
      <c r="M404" t="s">
        <v>5596</v>
      </c>
    </row>
    <row r="405" spans="1:13" x14ac:dyDescent="0.3">
      <c r="A405" t="s">
        <v>5597</v>
      </c>
      <c r="B405" t="s">
        <v>913</v>
      </c>
      <c r="C405" t="s">
        <v>2107</v>
      </c>
      <c r="D405" s="1">
        <v>46034</v>
      </c>
      <c r="E405" t="s">
        <v>12</v>
      </c>
      <c r="F405" t="s">
        <v>6181</v>
      </c>
      <c r="G40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05">
        <f>Payment_Dataset[[#This Row],[Total Amount]]-Payment_Dataset[[#This Row],[Amount_Paid]]</f>
        <v>8000</v>
      </c>
      <c r="I405">
        <v>0</v>
      </c>
      <c r="J405">
        <v>8000</v>
      </c>
      <c r="K405">
        <v>8000</v>
      </c>
      <c r="L405" t="s">
        <v>4799</v>
      </c>
      <c r="M405" t="s">
        <v>5598</v>
      </c>
    </row>
    <row r="406" spans="1:13" x14ac:dyDescent="0.3">
      <c r="A406" t="s">
        <v>5599</v>
      </c>
      <c r="B406" t="s">
        <v>915</v>
      </c>
      <c r="C406" t="s">
        <v>2858</v>
      </c>
      <c r="D406" s="1">
        <v>46039</v>
      </c>
      <c r="E406" t="s">
        <v>12</v>
      </c>
      <c r="F406" t="s">
        <v>6181</v>
      </c>
      <c r="G40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06">
        <f>Payment_Dataset[[#This Row],[Total Amount]]-Payment_Dataset[[#This Row],[Amount_Paid]]</f>
        <v>33600</v>
      </c>
      <c r="I406">
        <v>0</v>
      </c>
      <c r="J406">
        <v>33600</v>
      </c>
      <c r="K406">
        <v>33600</v>
      </c>
      <c r="L406" t="s">
        <v>4790</v>
      </c>
      <c r="M406" t="s">
        <v>5600</v>
      </c>
    </row>
    <row r="407" spans="1:13" x14ac:dyDescent="0.3">
      <c r="A407" t="s">
        <v>5601</v>
      </c>
      <c r="B407" t="s">
        <v>917</v>
      </c>
      <c r="C407" t="s">
        <v>2747</v>
      </c>
      <c r="D407" s="1">
        <v>46153</v>
      </c>
      <c r="E407" t="s">
        <v>38</v>
      </c>
      <c r="F407" t="s">
        <v>6180</v>
      </c>
      <c r="G40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32000</v>
      </c>
      <c r="H407">
        <f>Payment_Dataset[[#This Row],[Total Amount]]-Payment_Dataset[[#This Row],[Amount_Paid]]</f>
        <v>0</v>
      </c>
      <c r="I407">
        <v>32000</v>
      </c>
      <c r="J407">
        <v>0</v>
      </c>
      <c r="K407">
        <v>32000</v>
      </c>
      <c r="L407" t="s">
        <v>4790</v>
      </c>
      <c r="M407" t="s">
        <v>5602</v>
      </c>
    </row>
    <row r="408" spans="1:13" x14ac:dyDescent="0.3">
      <c r="A408" t="s">
        <v>5603</v>
      </c>
      <c r="B408" t="s">
        <v>919</v>
      </c>
      <c r="C408" t="s">
        <v>3874</v>
      </c>
      <c r="D408" s="1">
        <v>46050</v>
      </c>
      <c r="E408" t="s">
        <v>38</v>
      </c>
      <c r="F408" t="s">
        <v>6180</v>
      </c>
      <c r="G40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36000</v>
      </c>
      <c r="H408">
        <f>Payment_Dataset[[#This Row],[Total Amount]]-Payment_Dataset[[#This Row],[Amount_Paid]]</f>
        <v>0</v>
      </c>
      <c r="I408">
        <v>36000</v>
      </c>
      <c r="J408">
        <v>0</v>
      </c>
      <c r="K408">
        <v>36000</v>
      </c>
      <c r="L408" t="s">
        <v>4790</v>
      </c>
      <c r="M408" t="s">
        <v>5604</v>
      </c>
    </row>
    <row r="409" spans="1:13" x14ac:dyDescent="0.3">
      <c r="A409" t="s">
        <v>5605</v>
      </c>
      <c r="B409" t="s">
        <v>921</v>
      </c>
      <c r="C409" t="s">
        <v>626</v>
      </c>
      <c r="D409" s="1">
        <v>46027</v>
      </c>
      <c r="E409" t="s">
        <v>12</v>
      </c>
      <c r="F409" t="s">
        <v>6181</v>
      </c>
      <c r="G40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09">
        <f>Payment_Dataset[[#This Row],[Total Amount]]-Payment_Dataset[[#This Row],[Amount_Paid]]</f>
        <v>41400</v>
      </c>
      <c r="I409">
        <v>0</v>
      </c>
      <c r="J409">
        <v>41400</v>
      </c>
      <c r="K409">
        <v>41400</v>
      </c>
      <c r="L409" t="s">
        <v>4787</v>
      </c>
      <c r="M409" t="s">
        <v>5606</v>
      </c>
    </row>
    <row r="410" spans="1:13" x14ac:dyDescent="0.3">
      <c r="A410" t="s">
        <v>5607</v>
      </c>
      <c r="B410" t="s">
        <v>923</v>
      </c>
      <c r="C410" t="s">
        <v>4066</v>
      </c>
      <c r="D410" s="1">
        <v>46121</v>
      </c>
      <c r="E410" t="s">
        <v>12</v>
      </c>
      <c r="F410" t="s">
        <v>6181</v>
      </c>
      <c r="G41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10">
        <f>Payment_Dataset[[#This Row],[Total Amount]]-Payment_Dataset[[#This Row],[Amount_Paid]]</f>
        <v>35000</v>
      </c>
      <c r="I410">
        <v>0</v>
      </c>
      <c r="J410">
        <v>35000</v>
      </c>
      <c r="K410">
        <v>35000</v>
      </c>
      <c r="L410" t="s">
        <v>4793</v>
      </c>
      <c r="M410" t="s">
        <v>5608</v>
      </c>
    </row>
    <row r="411" spans="1:13" x14ac:dyDescent="0.3">
      <c r="A411" t="s">
        <v>5609</v>
      </c>
      <c r="B411" t="s">
        <v>925</v>
      </c>
      <c r="C411" t="s">
        <v>2507</v>
      </c>
      <c r="D411" s="1">
        <v>46119</v>
      </c>
      <c r="E411" t="s">
        <v>38</v>
      </c>
      <c r="F411" t="s">
        <v>6180</v>
      </c>
      <c r="G41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18600</v>
      </c>
      <c r="H411">
        <f>Payment_Dataset[[#This Row],[Total Amount]]-Payment_Dataset[[#This Row],[Amount_Paid]]</f>
        <v>0</v>
      </c>
      <c r="I411">
        <v>18600</v>
      </c>
      <c r="J411">
        <v>0</v>
      </c>
      <c r="K411">
        <v>18600</v>
      </c>
      <c r="L411" t="s">
        <v>4787</v>
      </c>
      <c r="M411" t="s">
        <v>5610</v>
      </c>
    </row>
    <row r="412" spans="1:13" x14ac:dyDescent="0.3">
      <c r="A412" t="s">
        <v>5611</v>
      </c>
      <c r="B412" t="s">
        <v>927</v>
      </c>
      <c r="C412" t="s">
        <v>2412</v>
      </c>
      <c r="D412" s="1">
        <v>46187</v>
      </c>
      <c r="E412" t="s">
        <v>12</v>
      </c>
      <c r="F412" t="s">
        <v>6181</v>
      </c>
      <c r="G41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12">
        <f>Payment_Dataset[[#This Row],[Total Amount]]-Payment_Dataset[[#This Row],[Amount_Paid]]</f>
        <v>27600</v>
      </c>
      <c r="I412">
        <v>0</v>
      </c>
      <c r="J412">
        <v>27600</v>
      </c>
      <c r="K412">
        <v>27600</v>
      </c>
      <c r="L412" t="s">
        <v>4787</v>
      </c>
      <c r="M412" t="s">
        <v>5612</v>
      </c>
    </row>
    <row r="413" spans="1:13" x14ac:dyDescent="0.3">
      <c r="A413" t="s">
        <v>5613</v>
      </c>
      <c r="B413" t="s">
        <v>929</v>
      </c>
      <c r="C413" t="s">
        <v>4340</v>
      </c>
      <c r="D413" s="1">
        <v>46136</v>
      </c>
      <c r="E413" t="s">
        <v>12</v>
      </c>
      <c r="F413" t="s">
        <v>6181</v>
      </c>
      <c r="G41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13">
        <f>Payment_Dataset[[#This Row],[Total Amount]]-Payment_Dataset[[#This Row],[Amount_Paid]]</f>
        <v>40200</v>
      </c>
      <c r="I413">
        <v>0</v>
      </c>
      <c r="J413">
        <v>40200</v>
      </c>
      <c r="K413">
        <v>40200</v>
      </c>
      <c r="L413" t="s">
        <v>4790</v>
      </c>
      <c r="M413" t="s">
        <v>5614</v>
      </c>
    </row>
    <row r="414" spans="1:13" x14ac:dyDescent="0.3">
      <c r="A414" t="s">
        <v>5615</v>
      </c>
      <c r="B414" t="s">
        <v>931</v>
      </c>
      <c r="C414" t="s">
        <v>3707</v>
      </c>
      <c r="D414" s="1">
        <v>46058</v>
      </c>
      <c r="E414" t="s">
        <v>76</v>
      </c>
      <c r="F414" t="s">
        <v>6183</v>
      </c>
      <c r="G41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14">
        <f>Payment_Dataset[[#This Row],[Total Amount]]-Payment_Dataset[[#This Row],[Amount_Paid]]</f>
        <v>0</v>
      </c>
      <c r="I414">
        <v>0</v>
      </c>
      <c r="J414">
        <v>0</v>
      </c>
      <c r="K414">
        <v>0</v>
      </c>
      <c r="L414" t="s">
        <v>6178</v>
      </c>
      <c r="M414" t="s">
        <v>5616</v>
      </c>
    </row>
    <row r="415" spans="1:13" x14ac:dyDescent="0.3">
      <c r="A415" t="s">
        <v>5617</v>
      </c>
      <c r="B415" t="s">
        <v>933</v>
      </c>
      <c r="C415" t="s">
        <v>4045</v>
      </c>
      <c r="D415" s="1">
        <v>46110</v>
      </c>
      <c r="E415" t="s">
        <v>38</v>
      </c>
      <c r="F415" t="s">
        <v>6180</v>
      </c>
      <c r="G41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19200</v>
      </c>
      <c r="H415">
        <f>Payment_Dataset[[#This Row],[Total Amount]]-Payment_Dataset[[#This Row],[Amount_Paid]]</f>
        <v>0</v>
      </c>
      <c r="I415">
        <v>19200</v>
      </c>
      <c r="J415">
        <v>0</v>
      </c>
      <c r="K415">
        <v>19200</v>
      </c>
      <c r="L415" t="s">
        <v>4793</v>
      </c>
      <c r="M415" t="s">
        <v>5618</v>
      </c>
    </row>
    <row r="416" spans="1:13" x14ac:dyDescent="0.3">
      <c r="A416" t="s">
        <v>5619</v>
      </c>
      <c r="B416" t="s">
        <v>935</v>
      </c>
      <c r="C416" t="s">
        <v>875</v>
      </c>
      <c r="D416" s="1">
        <v>46069</v>
      </c>
      <c r="E416" t="s">
        <v>38</v>
      </c>
      <c r="F416" t="s">
        <v>6180</v>
      </c>
      <c r="G41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23100</v>
      </c>
      <c r="H416">
        <f>Payment_Dataset[[#This Row],[Total Amount]]-Payment_Dataset[[#This Row],[Amount_Paid]]</f>
        <v>0</v>
      </c>
      <c r="I416">
        <v>23100</v>
      </c>
      <c r="J416">
        <v>0</v>
      </c>
      <c r="K416">
        <v>23100</v>
      </c>
      <c r="L416" t="s">
        <v>4796</v>
      </c>
      <c r="M416" t="s">
        <v>5620</v>
      </c>
    </row>
    <row r="417" spans="1:13" x14ac:dyDescent="0.3">
      <c r="A417" t="s">
        <v>5621</v>
      </c>
      <c r="B417" t="s">
        <v>937</v>
      </c>
      <c r="C417" t="s">
        <v>1526</v>
      </c>
      <c r="D417" s="1">
        <v>46170</v>
      </c>
      <c r="E417" t="s">
        <v>12</v>
      </c>
      <c r="F417" t="s">
        <v>6181</v>
      </c>
      <c r="G41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17">
        <f>Payment_Dataset[[#This Row],[Total Amount]]-Payment_Dataset[[#This Row],[Amount_Paid]]</f>
        <v>8600</v>
      </c>
      <c r="I417">
        <v>0</v>
      </c>
      <c r="J417">
        <v>8600</v>
      </c>
      <c r="K417">
        <v>8600</v>
      </c>
      <c r="L417" t="s">
        <v>4799</v>
      </c>
      <c r="M417" t="s">
        <v>5622</v>
      </c>
    </row>
    <row r="418" spans="1:13" x14ac:dyDescent="0.3">
      <c r="A418" t="s">
        <v>5623</v>
      </c>
      <c r="B418" t="s">
        <v>939</v>
      </c>
      <c r="C418" t="s">
        <v>2794</v>
      </c>
      <c r="D418" s="1">
        <v>46025</v>
      </c>
      <c r="E418" t="s">
        <v>38</v>
      </c>
      <c r="F418" t="s">
        <v>6180</v>
      </c>
      <c r="G41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9400</v>
      </c>
      <c r="H418">
        <f>Payment_Dataset[[#This Row],[Total Amount]]-Payment_Dataset[[#This Row],[Amount_Paid]]</f>
        <v>0</v>
      </c>
      <c r="I418">
        <v>9400</v>
      </c>
      <c r="J418">
        <v>0</v>
      </c>
      <c r="K418">
        <v>9400</v>
      </c>
      <c r="L418" t="s">
        <v>4799</v>
      </c>
      <c r="M418" t="s">
        <v>5624</v>
      </c>
    </row>
    <row r="419" spans="1:13" x14ac:dyDescent="0.3">
      <c r="A419" t="s">
        <v>5625</v>
      </c>
      <c r="B419" t="s">
        <v>941</v>
      </c>
      <c r="C419" t="s">
        <v>3991</v>
      </c>
      <c r="D419" s="1">
        <v>46101</v>
      </c>
      <c r="E419" t="s">
        <v>38</v>
      </c>
      <c r="F419" t="s">
        <v>6180</v>
      </c>
      <c r="G41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32900</v>
      </c>
      <c r="H419">
        <f>Payment_Dataset[[#This Row],[Total Amount]]-Payment_Dataset[[#This Row],[Amount_Paid]]</f>
        <v>0</v>
      </c>
      <c r="I419">
        <v>32900</v>
      </c>
      <c r="J419">
        <v>0</v>
      </c>
      <c r="K419">
        <v>32900</v>
      </c>
      <c r="L419" t="s">
        <v>4790</v>
      </c>
      <c r="M419" t="s">
        <v>5626</v>
      </c>
    </row>
    <row r="420" spans="1:13" x14ac:dyDescent="0.3">
      <c r="A420" t="s">
        <v>5627</v>
      </c>
      <c r="B420" t="s">
        <v>943</v>
      </c>
      <c r="C420" t="s">
        <v>450</v>
      </c>
      <c r="D420" s="1">
        <v>46164</v>
      </c>
      <c r="E420" t="s">
        <v>12</v>
      </c>
      <c r="F420" t="s">
        <v>6181</v>
      </c>
      <c r="G42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20">
        <f>Payment_Dataset[[#This Row],[Total Amount]]-Payment_Dataset[[#This Row],[Amount_Paid]]</f>
        <v>28200</v>
      </c>
      <c r="I420">
        <v>0</v>
      </c>
      <c r="J420">
        <v>28200</v>
      </c>
      <c r="K420">
        <v>28200</v>
      </c>
      <c r="L420" t="s">
        <v>4787</v>
      </c>
      <c r="M420" t="s">
        <v>5628</v>
      </c>
    </row>
    <row r="421" spans="1:13" x14ac:dyDescent="0.3">
      <c r="A421" t="s">
        <v>5629</v>
      </c>
      <c r="B421" t="s">
        <v>945</v>
      </c>
      <c r="C421" t="s">
        <v>1058</v>
      </c>
      <c r="D421" s="1">
        <v>46082</v>
      </c>
      <c r="E421" t="s">
        <v>12</v>
      </c>
      <c r="F421" t="s">
        <v>6181</v>
      </c>
      <c r="G42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21">
        <f>Payment_Dataset[[#This Row],[Total Amount]]-Payment_Dataset[[#This Row],[Amount_Paid]]</f>
        <v>35000</v>
      </c>
      <c r="I421">
        <v>0</v>
      </c>
      <c r="J421">
        <v>35000</v>
      </c>
      <c r="K421">
        <v>35000</v>
      </c>
      <c r="L421" t="s">
        <v>4787</v>
      </c>
      <c r="M421" t="s">
        <v>5630</v>
      </c>
    </row>
    <row r="422" spans="1:13" x14ac:dyDescent="0.3">
      <c r="A422" t="s">
        <v>5631</v>
      </c>
      <c r="B422" t="s">
        <v>947</v>
      </c>
      <c r="C422" t="s">
        <v>2741</v>
      </c>
      <c r="D422" s="1">
        <v>46181</v>
      </c>
      <c r="E422" t="s">
        <v>38</v>
      </c>
      <c r="F422" t="s">
        <v>6180</v>
      </c>
      <c r="G42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32000</v>
      </c>
      <c r="H422">
        <f>Payment_Dataset[[#This Row],[Total Amount]]-Payment_Dataset[[#This Row],[Amount_Paid]]</f>
        <v>0</v>
      </c>
      <c r="I422">
        <v>32000</v>
      </c>
      <c r="J422">
        <v>0</v>
      </c>
      <c r="K422">
        <v>32000</v>
      </c>
      <c r="L422" t="s">
        <v>4790</v>
      </c>
      <c r="M422" t="s">
        <v>5632</v>
      </c>
    </row>
    <row r="423" spans="1:13" x14ac:dyDescent="0.3">
      <c r="A423" t="s">
        <v>5633</v>
      </c>
      <c r="B423" t="s">
        <v>949</v>
      </c>
      <c r="C423" t="s">
        <v>3581</v>
      </c>
      <c r="D423" s="1">
        <v>46067</v>
      </c>
      <c r="E423" t="s">
        <v>12</v>
      </c>
      <c r="F423" t="s">
        <v>6181</v>
      </c>
      <c r="G42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23">
        <f>Payment_Dataset[[#This Row],[Total Amount]]-Payment_Dataset[[#This Row],[Amount_Paid]]</f>
        <v>11000</v>
      </c>
      <c r="I423">
        <v>0</v>
      </c>
      <c r="J423">
        <v>11000</v>
      </c>
      <c r="K423">
        <v>11000</v>
      </c>
      <c r="L423" t="s">
        <v>4796</v>
      </c>
      <c r="M423" t="s">
        <v>5634</v>
      </c>
    </row>
    <row r="424" spans="1:13" x14ac:dyDescent="0.3">
      <c r="A424" t="s">
        <v>5635</v>
      </c>
      <c r="B424" t="s">
        <v>951</v>
      </c>
      <c r="C424" t="s">
        <v>545</v>
      </c>
      <c r="D424" s="1">
        <v>46043</v>
      </c>
      <c r="E424" t="s">
        <v>12</v>
      </c>
      <c r="F424" t="s">
        <v>6181</v>
      </c>
      <c r="G42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24">
        <f>Payment_Dataset[[#This Row],[Total Amount]]-Payment_Dataset[[#This Row],[Amount_Paid]]</f>
        <v>18000</v>
      </c>
      <c r="I424">
        <v>0</v>
      </c>
      <c r="J424">
        <v>18000</v>
      </c>
      <c r="K424">
        <v>18000</v>
      </c>
      <c r="L424" t="s">
        <v>4799</v>
      </c>
      <c r="M424" t="s">
        <v>5636</v>
      </c>
    </row>
    <row r="425" spans="1:13" x14ac:dyDescent="0.3">
      <c r="A425" t="s">
        <v>5637</v>
      </c>
      <c r="B425" t="s">
        <v>953</v>
      </c>
      <c r="C425" t="s">
        <v>1118</v>
      </c>
      <c r="D425" s="1">
        <v>46180</v>
      </c>
      <c r="E425" t="s">
        <v>12</v>
      </c>
      <c r="F425" t="s">
        <v>6181</v>
      </c>
      <c r="G42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25">
        <f>Payment_Dataset[[#This Row],[Total Amount]]-Payment_Dataset[[#This Row],[Amount_Paid]]</f>
        <v>46900</v>
      </c>
      <c r="I425">
        <v>0</v>
      </c>
      <c r="J425">
        <v>46900</v>
      </c>
      <c r="K425">
        <v>46900</v>
      </c>
      <c r="L425" t="s">
        <v>4793</v>
      </c>
      <c r="M425" t="s">
        <v>5638</v>
      </c>
    </row>
    <row r="426" spans="1:13" x14ac:dyDescent="0.3">
      <c r="A426" t="s">
        <v>5639</v>
      </c>
      <c r="B426" t="s">
        <v>955</v>
      </c>
      <c r="C426" t="s">
        <v>3287</v>
      </c>
      <c r="D426" s="1">
        <v>46031</v>
      </c>
      <c r="E426" t="s">
        <v>12</v>
      </c>
      <c r="F426" t="s">
        <v>6181</v>
      </c>
      <c r="G42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26">
        <f>Payment_Dataset[[#This Row],[Total Amount]]-Payment_Dataset[[#This Row],[Amount_Paid]]</f>
        <v>36400</v>
      </c>
      <c r="I426">
        <v>0</v>
      </c>
      <c r="J426">
        <v>36400</v>
      </c>
      <c r="K426">
        <v>36400</v>
      </c>
      <c r="L426" t="s">
        <v>4790</v>
      </c>
      <c r="M426" t="s">
        <v>5640</v>
      </c>
    </row>
    <row r="427" spans="1:13" x14ac:dyDescent="0.3">
      <c r="A427" t="s">
        <v>5641</v>
      </c>
      <c r="B427" t="s">
        <v>957</v>
      </c>
      <c r="C427" t="s">
        <v>4239</v>
      </c>
      <c r="D427" s="1">
        <v>46197</v>
      </c>
      <c r="E427" t="s">
        <v>12</v>
      </c>
      <c r="F427" t="s">
        <v>6181</v>
      </c>
      <c r="G42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27">
        <f>Payment_Dataset[[#This Row],[Total Amount]]-Payment_Dataset[[#This Row],[Amount_Paid]]</f>
        <v>7000</v>
      </c>
      <c r="I427">
        <v>0</v>
      </c>
      <c r="J427">
        <v>7000</v>
      </c>
      <c r="K427">
        <v>7000</v>
      </c>
      <c r="L427" t="s">
        <v>4790</v>
      </c>
      <c r="M427" t="s">
        <v>5642</v>
      </c>
    </row>
    <row r="428" spans="1:13" x14ac:dyDescent="0.3">
      <c r="A428" t="s">
        <v>5643</v>
      </c>
      <c r="B428" t="s">
        <v>959</v>
      </c>
      <c r="C428" t="s">
        <v>871</v>
      </c>
      <c r="D428" s="1">
        <v>46120</v>
      </c>
      <c r="E428" t="s">
        <v>12</v>
      </c>
      <c r="F428" t="s">
        <v>6181</v>
      </c>
      <c r="G42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28">
        <f>Payment_Dataset[[#This Row],[Total Amount]]-Payment_Dataset[[#This Row],[Amount_Paid]]</f>
        <v>20800</v>
      </c>
      <c r="I428">
        <v>0</v>
      </c>
      <c r="J428">
        <v>20800</v>
      </c>
      <c r="K428">
        <v>20800</v>
      </c>
      <c r="L428" t="s">
        <v>4787</v>
      </c>
      <c r="M428" t="s">
        <v>5644</v>
      </c>
    </row>
    <row r="429" spans="1:13" x14ac:dyDescent="0.3">
      <c r="A429" t="s">
        <v>5645</v>
      </c>
      <c r="B429" t="s">
        <v>961</v>
      </c>
      <c r="C429" t="s">
        <v>1945</v>
      </c>
      <c r="D429" s="1">
        <v>46066</v>
      </c>
      <c r="E429" t="s">
        <v>12</v>
      </c>
      <c r="F429" t="s">
        <v>6181</v>
      </c>
      <c r="G42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29">
        <f>Payment_Dataset[[#This Row],[Total Amount]]-Payment_Dataset[[#This Row],[Amount_Paid]]</f>
        <v>6700</v>
      </c>
      <c r="I429">
        <v>0</v>
      </c>
      <c r="J429">
        <v>6700</v>
      </c>
      <c r="K429">
        <v>6700</v>
      </c>
      <c r="L429" t="s">
        <v>4796</v>
      </c>
      <c r="M429" t="s">
        <v>5646</v>
      </c>
    </row>
    <row r="430" spans="1:13" x14ac:dyDescent="0.3">
      <c r="A430" t="s">
        <v>5647</v>
      </c>
      <c r="B430" t="s">
        <v>963</v>
      </c>
      <c r="C430" t="s">
        <v>723</v>
      </c>
      <c r="D430" s="1">
        <v>46052</v>
      </c>
      <c r="E430" t="s">
        <v>76</v>
      </c>
      <c r="F430" t="s">
        <v>6183</v>
      </c>
      <c r="G43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30">
        <f>Payment_Dataset[[#This Row],[Total Amount]]-Payment_Dataset[[#This Row],[Amount_Paid]]</f>
        <v>0</v>
      </c>
      <c r="I430">
        <v>0</v>
      </c>
      <c r="J430">
        <v>0</v>
      </c>
      <c r="K430">
        <v>0</v>
      </c>
      <c r="L430" t="s">
        <v>6178</v>
      </c>
      <c r="M430" t="s">
        <v>5648</v>
      </c>
    </row>
    <row r="431" spans="1:13" x14ac:dyDescent="0.3">
      <c r="A431" t="s">
        <v>5649</v>
      </c>
      <c r="B431" t="s">
        <v>965</v>
      </c>
      <c r="C431" t="s">
        <v>1677</v>
      </c>
      <c r="D431" s="1">
        <v>46055</v>
      </c>
      <c r="E431" t="s">
        <v>12</v>
      </c>
      <c r="F431" t="s">
        <v>6181</v>
      </c>
      <c r="G43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31">
        <f>Payment_Dataset[[#This Row],[Total Amount]]-Payment_Dataset[[#This Row],[Amount_Paid]]</f>
        <v>31200</v>
      </c>
      <c r="I431">
        <v>0</v>
      </c>
      <c r="J431">
        <v>31200</v>
      </c>
      <c r="K431">
        <v>31200</v>
      </c>
      <c r="L431" t="s">
        <v>4793</v>
      </c>
      <c r="M431" t="s">
        <v>5650</v>
      </c>
    </row>
    <row r="432" spans="1:13" x14ac:dyDescent="0.3">
      <c r="A432" t="s">
        <v>5651</v>
      </c>
      <c r="B432" t="s">
        <v>967</v>
      </c>
      <c r="C432" t="s">
        <v>3522</v>
      </c>
      <c r="D432" s="1">
        <v>46065</v>
      </c>
      <c r="E432" t="s">
        <v>12</v>
      </c>
      <c r="F432" t="s">
        <v>6181</v>
      </c>
      <c r="G43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32">
        <f>Payment_Dataset[[#This Row],[Total Amount]]-Payment_Dataset[[#This Row],[Amount_Paid]]</f>
        <v>9600</v>
      </c>
      <c r="I432">
        <v>0</v>
      </c>
      <c r="J432">
        <v>9600</v>
      </c>
      <c r="K432">
        <v>9600</v>
      </c>
      <c r="L432" t="s">
        <v>4799</v>
      </c>
      <c r="M432" t="s">
        <v>5652</v>
      </c>
    </row>
    <row r="433" spans="1:13" x14ac:dyDescent="0.3">
      <c r="A433" t="s">
        <v>5653</v>
      </c>
      <c r="B433" t="s">
        <v>969</v>
      </c>
      <c r="C433" t="s">
        <v>3880</v>
      </c>
      <c r="D433" s="1">
        <v>46194</v>
      </c>
      <c r="E433" t="s">
        <v>12</v>
      </c>
      <c r="F433" t="s">
        <v>6181</v>
      </c>
      <c r="G43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33">
        <f>Payment_Dataset[[#This Row],[Total Amount]]-Payment_Dataset[[#This Row],[Amount_Paid]]</f>
        <v>26000</v>
      </c>
      <c r="I433">
        <v>0</v>
      </c>
      <c r="J433">
        <v>26000</v>
      </c>
      <c r="K433">
        <v>26000</v>
      </c>
      <c r="L433" t="s">
        <v>4799</v>
      </c>
      <c r="M433" t="s">
        <v>5654</v>
      </c>
    </row>
    <row r="434" spans="1:13" x14ac:dyDescent="0.3">
      <c r="A434" t="s">
        <v>5655</v>
      </c>
      <c r="B434" t="s">
        <v>971</v>
      </c>
      <c r="C434" t="s">
        <v>1922</v>
      </c>
      <c r="D434" s="1">
        <v>46190</v>
      </c>
      <c r="E434" t="s">
        <v>12</v>
      </c>
      <c r="F434" t="s">
        <v>6181</v>
      </c>
      <c r="G43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34">
        <f>Payment_Dataset[[#This Row],[Total Amount]]-Payment_Dataset[[#This Row],[Amount_Paid]]</f>
        <v>37500</v>
      </c>
      <c r="I434">
        <v>0</v>
      </c>
      <c r="J434">
        <v>37500</v>
      </c>
      <c r="K434">
        <v>37500</v>
      </c>
      <c r="L434" t="s">
        <v>4790</v>
      </c>
      <c r="M434" t="s">
        <v>5656</v>
      </c>
    </row>
    <row r="435" spans="1:13" x14ac:dyDescent="0.3">
      <c r="A435" t="s">
        <v>5657</v>
      </c>
      <c r="B435" t="s">
        <v>973</v>
      </c>
      <c r="C435" t="s">
        <v>2514</v>
      </c>
      <c r="D435" s="1">
        <v>46048</v>
      </c>
      <c r="E435" t="s">
        <v>38</v>
      </c>
      <c r="F435" t="s">
        <v>6180</v>
      </c>
      <c r="G43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4700</v>
      </c>
      <c r="H435">
        <f>Payment_Dataset[[#This Row],[Total Amount]]-Payment_Dataset[[#This Row],[Amount_Paid]]</f>
        <v>0</v>
      </c>
      <c r="I435">
        <v>4700</v>
      </c>
      <c r="J435">
        <v>0</v>
      </c>
      <c r="K435">
        <v>4700</v>
      </c>
      <c r="L435" t="s">
        <v>4793</v>
      </c>
      <c r="M435" t="s">
        <v>5658</v>
      </c>
    </row>
    <row r="436" spans="1:13" x14ac:dyDescent="0.3">
      <c r="A436" t="s">
        <v>5659</v>
      </c>
      <c r="B436" t="s">
        <v>975</v>
      </c>
      <c r="C436" t="s">
        <v>2339</v>
      </c>
      <c r="D436" s="1">
        <v>46078</v>
      </c>
      <c r="E436" t="s">
        <v>38</v>
      </c>
      <c r="F436" t="s">
        <v>6180</v>
      </c>
      <c r="G43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28200</v>
      </c>
      <c r="H436">
        <f>Payment_Dataset[[#This Row],[Total Amount]]-Payment_Dataset[[#This Row],[Amount_Paid]]</f>
        <v>0</v>
      </c>
      <c r="I436">
        <v>28200</v>
      </c>
      <c r="J436">
        <v>0</v>
      </c>
      <c r="K436">
        <v>28200</v>
      </c>
      <c r="L436" t="s">
        <v>4799</v>
      </c>
      <c r="M436" t="s">
        <v>5660</v>
      </c>
    </row>
    <row r="437" spans="1:13" x14ac:dyDescent="0.3">
      <c r="A437" t="s">
        <v>5661</v>
      </c>
      <c r="B437" t="s">
        <v>977</v>
      </c>
      <c r="C437" t="s">
        <v>857</v>
      </c>
      <c r="D437" s="1">
        <v>46161</v>
      </c>
      <c r="E437" t="s">
        <v>38</v>
      </c>
      <c r="F437" t="s">
        <v>6180</v>
      </c>
      <c r="G43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17200</v>
      </c>
      <c r="H437">
        <f>Payment_Dataset[[#This Row],[Total Amount]]-Payment_Dataset[[#This Row],[Amount_Paid]]</f>
        <v>0</v>
      </c>
      <c r="I437">
        <v>17200</v>
      </c>
      <c r="J437">
        <v>0</v>
      </c>
      <c r="K437">
        <v>17200</v>
      </c>
      <c r="L437" t="s">
        <v>4793</v>
      </c>
      <c r="M437" t="s">
        <v>5662</v>
      </c>
    </row>
    <row r="438" spans="1:13" x14ac:dyDescent="0.3">
      <c r="A438" t="s">
        <v>5663</v>
      </c>
      <c r="B438" t="s">
        <v>979</v>
      </c>
      <c r="C438" t="s">
        <v>688</v>
      </c>
      <c r="D438" s="1">
        <v>46168</v>
      </c>
      <c r="E438" t="s">
        <v>38</v>
      </c>
      <c r="F438" t="s">
        <v>6180</v>
      </c>
      <c r="G43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21600</v>
      </c>
      <c r="H438">
        <f>Payment_Dataset[[#This Row],[Total Amount]]-Payment_Dataset[[#This Row],[Amount_Paid]]</f>
        <v>0</v>
      </c>
      <c r="I438">
        <v>21600</v>
      </c>
      <c r="J438">
        <v>0</v>
      </c>
      <c r="K438">
        <v>21600</v>
      </c>
      <c r="L438" t="s">
        <v>4793</v>
      </c>
      <c r="M438" t="s">
        <v>5664</v>
      </c>
    </row>
    <row r="439" spans="1:13" x14ac:dyDescent="0.3">
      <c r="A439" t="s">
        <v>5665</v>
      </c>
      <c r="B439" t="s">
        <v>981</v>
      </c>
      <c r="C439" t="s">
        <v>3443</v>
      </c>
      <c r="D439" s="1">
        <v>46042</v>
      </c>
      <c r="E439" t="s">
        <v>12</v>
      </c>
      <c r="F439" t="s">
        <v>6181</v>
      </c>
      <c r="G43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39">
        <f>Payment_Dataset[[#This Row],[Total Amount]]-Payment_Dataset[[#This Row],[Amount_Paid]]</f>
        <v>14400</v>
      </c>
      <c r="I439">
        <v>0</v>
      </c>
      <c r="J439">
        <v>14400</v>
      </c>
      <c r="K439">
        <v>14400</v>
      </c>
      <c r="L439" t="s">
        <v>4787</v>
      </c>
      <c r="M439" t="s">
        <v>5666</v>
      </c>
    </row>
    <row r="440" spans="1:13" x14ac:dyDescent="0.3">
      <c r="A440" t="s">
        <v>5667</v>
      </c>
      <c r="B440" t="s">
        <v>983</v>
      </c>
      <c r="C440" t="s">
        <v>2105</v>
      </c>
      <c r="D440" s="1">
        <v>46148</v>
      </c>
      <c r="E440" t="s">
        <v>12</v>
      </c>
      <c r="F440" t="s">
        <v>6181</v>
      </c>
      <c r="G44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40">
        <f>Payment_Dataset[[#This Row],[Total Amount]]-Payment_Dataset[[#This Row],[Amount_Paid]]</f>
        <v>4000</v>
      </c>
      <c r="I440">
        <v>0</v>
      </c>
      <c r="J440">
        <v>4000</v>
      </c>
      <c r="K440">
        <v>4000</v>
      </c>
      <c r="L440" t="s">
        <v>4796</v>
      </c>
      <c r="M440" t="s">
        <v>5668</v>
      </c>
    </row>
    <row r="441" spans="1:13" x14ac:dyDescent="0.3">
      <c r="A441" t="s">
        <v>5669</v>
      </c>
      <c r="B441" t="s">
        <v>985</v>
      </c>
      <c r="C441" t="s">
        <v>2034</v>
      </c>
      <c r="D441" s="1">
        <v>46153</v>
      </c>
      <c r="E441" t="s">
        <v>38</v>
      </c>
      <c r="F441" t="s">
        <v>6180</v>
      </c>
      <c r="G44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12000</v>
      </c>
      <c r="H441">
        <f>Payment_Dataset[[#This Row],[Total Amount]]-Payment_Dataset[[#This Row],[Amount_Paid]]</f>
        <v>0</v>
      </c>
      <c r="I441">
        <v>12000</v>
      </c>
      <c r="J441">
        <v>0</v>
      </c>
      <c r="K441">
        <v>12000</v>
      </c>
      <c r="L441" t="s">
        <v>4790</v>
      </c>
      <c r="M441" t="s">
        <v>5670</v>
      </c>
    </row>
    <row r="442" spans="1:13" x14ac:dyDescent="0.3">
      <c r="A442" t="s">
        <v>5671</v>
      </c>
      <c r="B442" t="s">
        <v>987</v>
      </c>
      <c r="C442" t="s">
        <v>1054</v>
      </c>
      <c r="D442" s="1">
        <v>46066</v>
      </c>
      <c r="E442" t="s">
        <v>12</v>
      </c>
      <c r="F442" t="s">
        <v>6181</v>
      </c>
      <c r="G44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42">
        <f>Payment_Dataset[[#This Row],[Total Amount]]-Payment_Dataset[[#This Row],[Amount_Paid]]</f>
        <v>33000</v>
      </c>
      <c r="I442">
        <v>0</v>
      </c>
      <c r="J442">
        <v>33000</v>
      </c>
      <c r="K442">
        <v>33000</v>
      </c>
      <c r="L442" t="s">
        <v>4793</v>
      </c>
      <c r="M442" t="s">
        <v>5672</v>
      </c>
    </row>
    <row r="443" spans="1:13" x14ac:dyDescent="0.3">
      <c r="A443" t="s">
        <v>5673</v>
      </c>
      <c r="B443" t="s">
        <v>989</v>
      </c>
      <c r="C443" t="s">
        <v>3554</v>
      </c>
      <c r="D443" s="1">
        <v>46144</v>
      </c>
      <c r="E443" t="s">
        <v>12</v>
      </c>
      <c r="F443" t="s">
        <v>6181</v>
      </c>
      <c r="G44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43">
        <f>Payment_Dataset[[#This Row],[Total Amount]]-Payment_Dataset[[#This Row],[Amount_Paid]]</f>
        <v>43200</v>
      </c>
      <c r="I443">
        <v>0</v>
      </c>
      <c r="J443">
        <v>43200</v>
      </c>
      <c r="K443">
        <v>43200</v>
      </c>
      <c r="L443" t="s">
        <v>4787</v>
      </c>
      <c r="M443" t="s">
        <v>5674</v>
      </c>
    </row>
    <row r="444" spans="1:13" x14ac:dyDescent="0.3">
      <c r="A444" t="s">
        <v>5675</v>
      </c>
      <c r="B444" t="s">
        <v>991</v>
      </c>
      <c r="C444" t="s">
        <v>2264</v>
      </c>
      <c r="D444" s="1">
        <v>46198</v>
      </c>
      <c r="E444" t="s">
        <v>12</v>
      </c>
      <c r="F444" t="s">
        <v>6181</v>
      </c>
      <c r="G44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44">
        <f>Payment_Dataset[[#This Row],[Total Amount]]-Payment_Dataset[[#This Row],[Amount_Paid]]</f>
        <v>30800</v>
      </c>
      <c r="I444">
        <v>0</v>
      </c>
      <c r="J444">
        <v>30800</v>
      </c>
      <c r="K444">
        <v>30800</v>
      </c>
      <c r="L444" t="s">
        <v>4796</v>
      </c>
      <c r="M444" t="s">
        <v>5676</v>
      </c>
    </row>
    <row r="445" spans="1:13" x14ac:dyDescent="0.3">
      <c r="A445" t="s">
        <v>5677</v>
      </c>
      <c r="B445" t="s">
        <v>993</v>
      </c>
      <c r="C445" t="s">
        <v>1885</v>
      </c>
      <c r="D445" s="1">
        <v>46137</v>
      </c>
      <c r="E445" t="s">
        <v>76</v>
      </c>
      <c r="F445" t="s">
        <v>6183</v>
      </c>
      <c r="G44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45">
        <f>Payment_Dataset[[#This Row],[Total Amount]]-Payment_Dataset[[#This Row],[Amount_Paid]]</f>
        <v>0</v>
      </c>
      <c r="I445">
        <v>0</v>
      </c>
      <c r="J445">
        <v>0</v>
      </c>
      <c r="K445">
        <v>0</v>
      </c>
      <c r="L445" t="s">
        <v>6178</v>
      </c>
      <c r="M445" t="s">
        <v>5678</v>
      </c>
    </row>
    <row r="446" spans="1:13" x14ac:dyDescent="0.3">
      <c r="A446" t="s">
        <v>5679</v>
      </c>
      <c r="B446" t="s">
        <v>995</v>
      </c>
      <c r="C446" t="s">
        <v>2446</v>
      </c>
      <c r="D446" s="1">
        <v>46133</v>
      </c>
      <c r="E446" t="s">
        <v>12</v>
      </c>
      <c r="F446" t="s">
        <v>6181</v>
      </c>
      <c r="G44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46">
        <f>Payment_Dataset[[#This Row],[Total Amount]]-Payment_Dataset[[#This Row],[Amount_Paid]]</f>
        <v>10400</v>
      </c>
      <c r="I446">
        <v>0</v>
      </c>
      <c r="J446">
        <v>10400</v>
      </c>
      <c r="K446">
        <v>10400</v>
      </c>
      <c r="L446" t="s">
        <v>4793</v>
      </c>
      <c r="M446" t="s">
        <v>5680</v>
      </c>
    </row>
    <row r="447" spans="1:13" x14ac:dyDescent="0.3">
      <c r="A447" t="s">
        <v>5681</v>
      </c>
      <c r="B447" t="s">
        <v>997</v>
      </c>
      <c r="C447" t="s">
        <v>4452</v>
      </c>
      <c r="D447" s="1">
        <v>46175</v>
      </c>
      <c r="E447" t="s">
        <v>76</v>
      </c>
      <c r="F447" t="s">
        <v>6183</v>
      </c>
      <c r="G44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47">
        <f>Payment_Dataset[[#This Row],[Total Amount]]-Payment_Dataset[[#This Row],[Amount_Paid]]</f>
        <v>0</v>
      </c>
      <c r="I447">
        <v>0</v>
      </c>
      <c r="J447">
        <v>0</v>
      </c>
      <c r="K447">
        <v>0</v>
      </c>
      <c r="L447" t="s">
        <v>6178</v>
      </c>
      <c r="M447" t="s">
        <v>5682</v>
      </c>
    </row>
    <row r="448" spans="1:13" x14ac:dyDescent="0.3">
      <c r="A448" t="s">
        <v>5683</v>
      </c>
      <c r="B448" t="s">
        <v>999</v>
      </c>
      <c r="C448" t="s">
        <v>1970</v>
      </c>
      <c r="D448" s="1">
        <v>46113</v>
      </c>
      <c r="E448" t="s">
        <v>76</v>
      </c>
      <c r="F448" t="s">
        <v>6183</v>
      </c>
      <c r="G44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48">
        <f>Payment_Dataset[[#This Row],[Total Amount]]-Payment_Dataset[[#This Row],[Amount_Paid]]</f>
        <v>0</v>
      </c>
      <c r="I448">
        <v>0</v>
      </c>
      <c r="J448">
        <v>0</v>
      </c>
      <c r="K448">
        <v>0</v>
      </c>
      <c r="L448" t="s">
        <v>6178</v>
      </c>
      <c r="M448" t="s">
        <v>5684</v>
      </c>
    </row>
    <row r="449" spans="1:13" x14ac:dyDescent="0.3">
      <c r="A449" t="s">
        <v>5685</v>
      </c>
      <c r="B449" t="s">
        <v>1001</v>
      </c>
      <c r="C449" t="s">
        <v>1997</v>
      </c>
      <c r="D449" s="1">
        <v>46064</v>
      </c>
      <c r="E449" t="s">
        <v>12</v>
      </c>
      <c r="F449" t="s">
        <v>6181</v>
      </c>
      <c r="G44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49">
        <f>Payment_Dataset[[#This Row],[Total Amount]]-Payment_Dataset[[#This Row],[Amount_Paid]]</f>
        <v>38400</v>
      </c>
      <c r="I449">
        <v>0</v>
      </c>
      <c r="J449">
        <v>38400</v>
      </c>
      <c r="K449">
        <v>38400</v>
      </c>
      <c r="L449" t="s">
        <v>4787</v>
      </c>
      <c r="M449" t="s">
        <v>5686</v>
      </c>
    </row>
    <row r="450" spans="1:13" x14ac:dyDescent="0.3">
      <c r="A450" t="s">
        <v>5687</v>
      </c>
      <c r="B450" t="s">
        <v>1003</v>
      </c>
      <c r="C450" t="s">
        <v>3070</v>
      </c>
      <c r="D450" s="1">
        <v>46200</v>
      </c>
      <c r="E450" t="s">
        <v>12</v>
      </c>
      <c r="F450" t="s">
        <v>6181</v>
      </c>
      <c r="G45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50">
        <f>Payment_Dataset[[#This Row],[Total Amount]]-Payment_Dataset[[#This Row],[Amount_Paid]]</f>
        <v>5000</v>
      </c>
      <c r="I450">
        <v>0</v>
      </c>
      <c r="J450">
        <v>5000</v>
      </c>
      <c r="K450">
        <v>5000</v>
      </c>
      <c r="L450" t="s">
        <v>4793</v>
      </c>
      <c r="M450" t="s">
        <v>5688</v>
      </c>
    </row>
    <row r="451" spans="1:13" x14ac:dyDescent="0.3">
      <c r="A451" t="s">
        <v>5689</v>
      </c>
      <c r="B451" t="s">
        <v>1005</v>
      </c>
      <c r="C451" t="s">
        <v>1493</v>
      </c>
      <c r="D451" s="1">
        <v>46089</v>
      </c>
      <c r="E451" t="s">
        <v>12</v>
      </c>
      <c r="F451" t="s">
        <v>6181</v>
      </c>
      <c r="G45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51">
        <f>Payment_Dataset[[#This Row],[Total Amount]]-Payment_Dataset[[#This Row],[Amount_Paid]]</f>
        <v>46200</v>
      </c>
      <c r="I451">
        <v>0</v>
      </c>
      <c r="J451">
        <v>46200</v>
      </c>
      <c r="K451">
        <v>46200</v>
      </c>
      <c r="L451" t="s">
        <v>4787</v>
      </c>
      <c r="M451" t="s">
        <v>5690</v>
      </c>
    </row>
    <row r="452" spans="1:13" x14ac:dyDescent="0.3">
      <c r="A452" t="s">
        <v>5691</v>
      </c>
      <c r="B452" t="s">
        <v>1007</v>
      </c>
      <c r="C452" t="s">
        <v>2860</v>
      </c>
      <c r="D452" s="1">
        <v>46064</v>
      </c>
      <c r="E452" t="s">
        <v>12</v>
      </c>
      <c r="F452" t="s">
        <v>6181</v>
      </c>
      <c r="G45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52">
        <f>Payment_Dataset[[#This Row],[Total Amount]]-Payment_Dataset[[#This Row],[Amount_Paid]]</f>
        <v>10000</v>
      </c>
      <c r="I452">
        <v>0</v>
      </c>
      <c r="J452">
        <v>10000</v>
      </c>
      <c r="K452">
        <v>10000</v>
      </c>
      <c r="L452" t="s">
        <v>4799</v>
      </c>
      <c r="M452" t="s">
        <v>5692</v>
      </c>
    </row>
    <row r="453" spans="1:13" x14ac:dyDescent="0.3">
      <c r="A453" t="s">
        <v>5693</v>
      </c>
      <c r="B453" t="s">
        <v>1009</v>
      </c>
      <c r="C453" t="s">
        <v>4141</v>
      </c>
      <c r="D453" s="1">
        <v>46056</v>
      </c>
      <c r="E453" t="s">
        <v>38</v>
      </c>
      <c r="F453" t="s">
        <v>6180</v>
      </c>
      <c r="G45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12800</v>
      </c>
      <c r="H453">
        <f>Payment_Dataset[[#This Row],[Total Amount]]-Payment_Dataset[[#This Row],[Amount_Paid]]</f>
        <v>0</v>
      </c>
      <c r="I453">
        <v>12800</v>
      </c>
      <c r="J453">
        <v>0</v>
      </c>
      <c r="K453">
        <v>12800</v>
      </c>
      <c r="L453" t="s">
        <v>4799</v>
      </c>
      <c r="M453" t="s">
        <v>5694</v>
      </c>
    </row>
    <row r="454" spans="1:13" x14ac:dyDescent="0.3">
      <c r="A454" t="s">
        <v>5695</v>
      </c>
      <c r="B454" t="s">
        <v>1011</v>
      </c>
      <c r="C454" t="s">
        <v>4045</v>
      </c>
      <c r="D454" s="1">
        <v>46162</v>
      </c>
      <c r="E454" t="s">
        <v>38</v>
      </c>
      <c r="F454" t="s">
        <v>6180</v>
      </c>
      <c r="G45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24000</v>
      </c>
      <c r="H454">
        <f>Payment_Dataset[[#This Row],[Total Amount]]-Payment_Dataset[[#This Row],[Amount_Paid]]</f>
        <v>0</v>
      </c>
      <c r="I454">
        <v>24000</v>
      </c>
      <c r="J454">
        <v>0</v>
      </c>
      <c r="K454">
        <v>24000</v>
      </c>
      <c r="L454" t="s">
        <v>4793</v>
      </c>
      <c r="M454" t="s">
        <v>5696</v>
      </c>
    </row>
    <row r="455" spans="1:13" x14ac:dyDescent="0.3">
      <c r="A455" t="s">
        <v>5697</v>
      </c>
      <c r="B455" t="s">
        <v>1013</v>
      </c>
      <c r="C455" t="s">
        <v>353</v>
      </c>
      <c r="D455" s="1">
        <v>46173</v>
      </c>
      <c r="E455" t="s">
        <v>12</v>
      </c>
      <c r="F455" t="s">
        <v>6181</v>
      </c>
      <c r="G45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55">
        <f>Payment_Dataset[[#This Row],[Total Amount]]-Payment_Dataset[[#This Row],[Amount_Paid]]</f>
        <v>18800</v>
      </c>
      <c r="I455">
        <v>0</v>
      </c>
      <c r="J455">
        <v>18800</v>
      </c>
      <c r="K455">
        <v>18800</v>
      </c>
      <c r="L455" t="s">
        <v>4790</v>
      </c>
      <c r="M455" t="s">
        <v>5698</v>
      </c>
    </row>
    <row r="456" spans="1:13" x14ac:dyDescent="0.3">
      <c r="A456" t="s">
        <v>5699</v>
      </c>
      <c r="B456" t="s">
        <v>1015</v>
      </c>
      <c r="C456" t="s">
        <v>3287</v>
      </c>
      <c r="D456" s="1">
        <v>46204</v>
      </c>
      <c r="E456" t="s">
        <v>76</v>
      </c>
      <c r="F456" t="s">
        <v>6183</v>
      </c>
      <c r="G45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56">
        <f>Payment_Dataset[[#This Row],[Total Amount]]-Payment_Dataset[[#This Row],[Amount_Paid]]</f>
        <v>0</v>
      </c>
      <c r="I456">
        <v>0</v>
      </c>
      <c r="J456">
        <v>0</v>
      </c>
      <c r="K456">
        <v>0</v>
      </c>
      <c r="L456" t="s">
        <v>6178</v>
      </c>
      <c r="M456" t="s">
        <v>5700</v>
      </c>
    </row>
    <row r="457" spans="1:13" x14ac:dyDescent="0.3">
      <c r="A457" t="s">
        <v>5701</v>
      </c>
      <c r="B457" t="s">
        <v>1017</v>
      </c>
      <c r="C457" t="s">
        <v>275</v>
      </c>
      <c r="D457" s="1">
        <v>46145</v>
      </c>
      <c r="E457" t="s">
        <v>12</v>
      </c>
      <c r="F457" t="s">
        <v>6181</v>
      </c>
      <c r="G45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57">
        <f>Payment_Dataset[[#This Row],[Total Amount]]-Payment_Dataset[[#This Row],[Amount_Paid]]</f>
        <v>19200</v>
      </c>
      <c r="I457">
        <v>0</v>
      </c>
      <c r="J457">
        <v>19200</v>
      </c>
      <c r="K457">
        <v>19200</v>
      </c>
      <c r="L457" t="s">
        <v>4790</v>
      </c>
      <c r="M457" t="s">
        <v>5702</v>
      </c>
    </row>
    <row r="458" spans="1:13" x14ac:dyDescent="0.3">
      <c r="A458" t="s">
        <v>5703</v>
      </c>
      <c r="B458" t="s">
        <v>1019</v>
      </c>
      <c r="C458" t="s">
        <v>2620</v>
      </c>
      <c r="D458" s="1">
        <v>46183</v>
      </c>
      <c r="E458" t="s">
        <v>12</v>
      </c>
      <c r="F458" t="s">
        <v>6181</v>
      </c>
      <c r="G45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58">
        <f>Payment_Dataset[[#This Row],[Total Amount]]-Payment_Dataset[[#This Row],[Amount_Paid]]</f>
        <v>26800</v>
      </c>
      <c r="I458">
        <v>0</v>
      </c>
      <c r="J458">
        <v>26800</v>
      </c>
      <c r="K458">
        <v>26800</v>
      </c>
      <c r="L458" t="s">
        <v>4796</v>
      </c>
      <c r="M458" t="s">
        <v>5704</v>
      </c>
    </row>
    <row r="459" spans="1:13" x14ac:dyDescent="0.3">
      <c r="A459" t="s">
        <v>5705</v>
      </c>
      <c r="B459" t="s">
        <v>1021</v>
      </c>
      <c r="C459" t="s">
        <v>3454</v>
      </c>
      <c r="D459" s="1">
        <v>46062</v>
      </c>
      <c r="E459" t="s">
        <v>12</v>
      </c>
      <c r="F459" t="s">
        <v>6181</v>
      </c>
      <c r="G45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59">
        <f>Payment_Dataset[[#This Row],[Total Amount]]-Payment_Dataset[[#This Row],[Amount_Paid]]</f>
        <v>5400</v>
      </c>
      <c r="I459">
        <v>0</v>
      </c>
      <c r="J459">
        <v>5400</v>
      </c>
      <c r="K459">
        <v>5400</v>
      </c>
      <c r="L459" t="s">
        <v>4787</v>
      </c>
      <c r="M459" t="s">
        <v>5706</v>
      </c>
    </row>
    <row r="460" spans="1:13" x14ac:dyDescent="0.3">
      <c r="A460" t="s">
        <v>5707</v>
      </c>
      <c r="B460" t="s">
        <v>1023</v>
      </c>
      <c r="C460" t="s">
        <v>1788</v>
      </c>
      <c r="D460" s="1">
        <v>46083</v>
      </c>
      <c r="E460" t="s">
        <v>12</v>
      </c>
      <c r="F460" t="s">
        <v>6181</v>
      </c>
      <c r="G46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60">
        <f>Payment_Dataset[[#This Row],[Total Amount]]-Payment_Dataset[[#This Row],[Amount_Paid]]</f>
        <v>16600</v>
      </c>
      <c r="I460">
        <v>0</v>
      </c>
      <c r="J460">
        <v>16600</v>
      </c>
      <c r="K460">
        <v>16600</v>
      </c>
      <c r="L460" t="s">
        <v>4796</v>
      </c>
      <c r="M460" t="s">
        <v>5708</v>
      </c>
    </row>
    <row r="461" spans="1:13" x14ac:dyDescent="0.3">
      <c r="A461" t="s">
        <v>5709</v>
      </c>
      <c r="B461" t="s">
        <v>1025</v>
      </c>
      <c r="C461" t="s">
        <v>1378</v>
      </c>
      <c r="D461" s="1">
        <v>46109</v>
      </c>
      <c r="E461" t="s">
        <v>12</v>
      </c>
      <c r="F461" t="s">
        <v>6181</v>
      </c>
      <c r="G46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61">
        <f>Payment_Dataset[[#This Row],[Total Amount]]-Payment_Dataset[[#This Row],[Amount_Paid]]</f>
        <v>18000</v>
      </c>
      <c r="I461">
        <v>0</v>
      </c>
      <c r="J461">
        <v>18000</v>
      </c>
      <c r="K461">
        <v>18000</v>
      </c>
      <c r="L461" t="s">
        <v>4787</v>
      </c>
      <c r="M461" t="s">
        <v>5710</v>
      </c>
    </row>
    <row r="462" spans="1:13" x14ac:dyDescent="0.3">
      <c r="A462" t="s">
        <v>5711</v>
      </c>
      <c r="B462" t="s">
        <v>1027</v>
      </c>
      <c r="C462" t="s">
        <v>1725</v>
      </c>
      <c r="D462" s="1">
        <v>46139</v>
      </c>
      <c r="E462" t="s">
        <v>12</v>
      </c>
      <c r="F462" t="s">
        <v>6181</v>
      </c>
      <c r="G46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62">
        <f>Payment_Dataset[[#This Row],[Total Amount]]-Payment_Dataset[[#This Row],[Amount_Paid]]</f>
        <v>32900</v>
      </c>
      <c r="I462">
        <v>0</v>
      </c>
      <c r="J462">
        <v>32900</v>
      </c>
      <c r="K462">
        <v>32900</v>
      </c>
      <c r="L462" t="s">
        <v>4796</v>
      </c>
      <c r="M462" t="s">
        <v>5712</v>
      </c>
    </row>
    <row r="463" spans="1:13" x14ac:dyDescent="0.3">
      <c r="A463" t="s">
        <v>5713</v>
      </c>
      <c r="B463" t="s">
        <v>1029</v>
      </c>
      <c r="C463" t="s">
        <v>3566</v>
      </c>
      <c r="D463" s="1">
        <v>46057</v>
      </c>
      <c r="E463" t="s">
        <v>38</v>
      </c>
      <c r="F463" t="s">
        <v>6180</v>
      </c>
      <c r="G46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8000</v>
      </c>
      <c r="H463">
        <f>Payment_Dataset[[#This Row],[Total Amount]]-Payment_Dataset[[#This Row],[Amount_Paid]]</f>
        <v>0</v>
      </c>
      <c r="I463">
        <v>8000</v>
      </c>
      <c r="J463">
        <v>0</v>
      </c>
      <c r="K463">
        <v>8000</v>
      </c>
      <c r="L463" t="s">
        <v>4796</v>
      </c>
      <c r="M463" t="s">
        <v>5714</v>
      </c>
    </row>
    <row r="464" spans="1:13" x14ac:dyDescent="0.3">
      <c r="A464" t="s">
        <v>5715</v>
      </c>
      <c r="B464" t="s">
        <v>1031</v>
      </c>
      <c r="C464" t="s">
        <v>3345</v>
      </c>
      <c r="D464" s="1">
        <v>46086</v>
      </c>
      <c r="E464" t="s">
        <v>12</v>
      </c>
      <c r="F464" t="s">
        <v>6181</v>
      </c>
      <c r="G46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64">
        <f>Payment_Dataset[[#This Row],[Total Amount]]-Payment_Dataset[[#This Row],[Amount_Paid]]</f>
        <v>9600</v>
      </c>
      <c r="I464">
        <v>0</v>
      </c>
      <c r="J464">
        <v>9600</v>
      </c>
      <c r="K464">
        <v>9600</v>
      </c>
      <c r="L464" t="s">
        <v>4796</v>
      </c>
      <c r="M464" t="s">
        <v>5716</v>
      </c>
    </row>
    <row r="465" spans="1:13" x14ac:dyDescent="0.3">
      <c r="A465" t="s">
        <v>5717</v>
      </c>
      <c r="B465" t="s">
        <v>1033</v>
      </c>
      <c r="C465" t="s">
        <v>980</v>
      </c>
      <c r="D465" s="1">
        <v>46098</v>
      </c>
      <c r="E465" t="s">
        <v>12</v>
      </c>
      <c r="F465" t="s">
        <v>6181</v>
      </c>
      <c r="G46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65">
        <f>Payment_Dataset[[#This Row],[Total Amount]]-Payment_Dataset[[#This Row],[Amount_Paid]]</f>
        <v>33500</v>
      </c>
      <c r="I465">
        <v>0</v>
      </c>
      <c r="J465">
        <v>33500</v>
      </c>
      <c r="K465">
        <v>33500</v>
      </c>
      <c r="L465" t="s">
        <v>4799</v>
      </c>
      <c r="M465" t="s">
        <v>5718</v>
      </c>
    </row>
    <row r="466" spans="1:13" x14ac:dyDescent="0.3">
      <c r="A466" t="s">
        <v>5719</v>
      </c>
      <c r="B466" t="s">
        <v>1035</v>
      </c>
      <c r="C466" t="s">
        <v>4380</v>
      </c>
      <c r="D466" s="1">
        <v>46079</v>
      </c>
      <c r="E466" t="s">
        <v>38</v>
      </c>
      <c r="F466" t="s">
        <v>6180</v>
      </c>
      <c r="G46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36000</v>
      </c>
      <c r="H466">
        <f>Payment_Dataset[[#This Row],[Total Amount]]-Payment_Dataset[[#This Row],[Amount_Paid]]</f>
        <v>0</v>
      </c>
      <c r="I466">
        <v>36000</v>
      </c>
      <c r="J466">
        <v>0</v>
      </c>
      <c r="K466">
        <v>36000</v>
      </c>
      <c r="L466" t="s">
        <v>4790</v>
      </c>
      <c r="M466" t="s">
        <v>5720</v>
      </c>
    </row>
    <row r="467" spans="1:13" x14ac:dyDescent="0.3">
      <c r="A467" t="s">
        <v>5721</v>
      </c>
      <c r="B467" t="s">
        <v>1037</v>
      </c>
      <c r="C467" t="s">
        <v>1142</v>
      </c>
      <c r="D467" s="1">
        <v>46192</v>
      </c>
      <c r="E467" t="s">
        <v>12</v>
      </c>
      <c r="F467" t="s">
        <v>6181</v>
      </c>
      <c r="G46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67">
        <f>Payment_Dataset[[#This Row],[Total Amount]]-Payment_Dataset[[#This Row],[Amount_Paid]]</f>
        <v>41400</v>
      </c>
      <c r="I467">
        <v>0</v>
      </c>
      <c r="J467">
        <v>41400</v>
      </c>
      <c r="K467">
        <v>41400</v>
      </c>
      <c r="L467" t="s">
        <v>4793</v>
      </c>
      <c r="M467" t="s">
        <v>5722</v>
      </c>
    </row>
    <row r="468" spans="1:13" x14ac:dyDescent="0.3">
      <c r="A468" t="s">
        <v>5723</v>
      </c>
      <c r="B468" t="s">
        <v>1039</v>
      </c>
      <c r="C468" t="s">
        <v>1080</v>
      </c>
      <c r="D468" s="1">
        <v>46098</v>
      </c>
      <c r="E468" t="s">
        <v>12</v>
      </c>
      <c r="F468" t="s">
        <v>6181</v>
      </c>
      <c r="G46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68">
        <f>Payment_Dataset[[#This Row],[Total Amount]]-Payment_Dataset[[#This Row],[Amount_Paid]]</f>
        <v>53900</v>
      </c>
      <c r="I468">
        <v>0</v>
      </c>
      <c r="J468">
        <v>53900</v>
      </c>
      <c r="K468">
        <v>53900</v>
      </c>
      <c r="L468" t="s">
        <v>4787</v>
      </c>
      <c r="M468" t="s">
        <v>5724</v>
      </c>
    </row>
    <row r="469" spans="1:13" x14ac:dyDescent="0.3">
      <c r="A469" t="s">
        <v>5725</v>
      </c>
      <c r="B469" t="s">
        <v>1041</v>
      </c>
      <c r="C469" t="s">
        <v>2093</v>
      </c>
      <c r="D469" s="1">
        <v>46046</v>
      </c>
      <c r="E469" t="s">
        <v>12</v>
      </c>
      <c r="F469" t="s">
        <v>6181</v>
      </c>
      <c r="G46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69">
        <f>Payment_Dataset[[#This Row],[Total Amount]]-Payment_Dataset[[#This Row],[Amount_Paid]]</f>
        <v>28200</v>
      </c>
      <c r="I469">
        <v>0</v>
      </c>
      <c r="J469">
        <v>28200</v>
      </c>
      <c r="K469">
        <v>28200</v>
      </c>
      <c r="L469" t="s">
        <v>4793</v>
      </c>
      <c r="M469" t="s">
        <v>5726</v>
      </c>
    </row>
    <row r="470" spans="1:13" x14ac:dyDescent="0.3">
      <c r="A470" t="s">
        <v>5727</v>
      </c>
      <c r="B470" t="s">
        <v>1043</v>
      </c>
      <c r="C470" t="s">
        <v>2188</v>
      </c>
      <c r="D470" s="1">
        <v>46069</v>
      </c>
      <c r="E470" t="s">
        <v>12</v>
      </c>
      <c r="F470" t="s">
        <v>6181</v>
      </c>
      <c r="G47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70">
        <f>Payment_Dataset[[#This Row],[Total Amount]]-Payment_Dataset[[#This Row],[Amount_Paid]]</f>
        <v>28000</v>
      </c>
      <c r="I470">
        <v>0</v>
      </c>
      <c r="J470">
        <v>28000</v>
      </c>
      <c r="K470">
        <v>28000</v>
      </c>
      <c r="L470" t="s">
        <v>4796</v>
      </c>
      <c r="M470" t="s">
        <v>5728</v>
      </c>
    </row>
    <row r="471" spans="1:13" x14ac:dyDescent="0.3">
      <c r="A471" t="s">
        <v>5729</v>
      </c>
      <c r="B471" t="s">
        <v>1045</v>
      </c>
      <c r="C471" t="s">
        <v>4185</v>
      </c>
      <c r="D471" s="1">
        <v>46145</v>
      </c>
      <c r="E471" t="s">
        <v>49</v>
      </c>
      <c r="F471" t="s">
        <v>6182</v>
      </c>
      <c r="G47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3360</v>
      </c>
      <c r="H471">
        <f>Payment_Dataset[[#This Row],[Total Amount]]-Payment_Dataset[[#This Row],[Amount_Paid]]</f>
        <v>6240</v>
      </c>
      <c r="I471">
        <v>3360</v>
      </c>
      <c r="J471">
        <v>6240</v>
      </c>
      <c r="K471">
        <v>9600</v>
      </c>
      <c r="L471" t="s">
        <v>4796</v>
      </c>
      <c r="M471" t="s">
        <v>5730</v>
      </c>
    </row>
    <row r="472" spans="1:13" x14ac:dyDescent="0.3">
      <c r="A472" t="s">
        <v>5731</v>
      </c>
      <c r="B472" t="s">
        <v>1047</v>
      </c>
      <c r="C472" t="s">
        <v>2776</v>
      </c>
      <c r="D472" s="1">
        <v>46180</v>
      </c>
      <c r="E472" t="s">
        <v>12</v>
      </c>
      <c r="F472" t="s">
        <v>6181</v>
      </c>
      <c r="G47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72">
        <f>Payment_Dataset[[#This Row],[Total Amount]]-Payment_Dataset[[#This Row],[Amount_Paid]]</f>
        <v>12900</v>
      </c>
      <c r="I472">
        <v>0</v>
      </c>
      <c r="J472">
        <v>12900</v>
      </c>
      <c r="K472">
        <v>12900</v>
      </c>
      <c r="L472" t="s">
        <v>4793</v>
      </c>
      <c r="M472" t="s">
        <v>5732</v>
      </c>
    </row>
    <row r="473" spans="1:13" x14ac:dyDescent="0.3">
      <c r="A473" t="s">
        <v>5733</v>
      </c>
      <c r="B473" t="s">
        <v>1049</v>
      </c>
      <c r="C473" t="s">
        <v>3156</v>
      </c>
      <c r="D473" s="1">
        <v>46137</v>
      </c>
      <c r="E473" t="s">
        <v>38</v>
      </c>
      <c r="F473" t="s">
        <v>6180</v>
      </c>
      <c r="G47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24000</v>
      </c>
      <c r="H473">
        <f>Payment_Dataset[[#This Row],[Total Amount]]-Payment_Dataset[[#This Row],[Amount_Paid]]</f>
        <v>0</v>
      </c>
      <c r="I473">
        <v>24000</v>
      </c>
      <c r="J473">
        <v>0</v>
      </c>
      <c r="K473">
        <v>24000</v>
      </c>
      <c r="L473" t="s">
        <v>4793</v>
      </c>
      <c r="M473" t="s">
        <v>5734</v>
      </c>
    </row>
    <row r="474" spans="1:13" x14ac:dyDescent="0.3">
      <c r="A474" t="s">
        <v>5735</v>
      </c>
      <c r="B474" t="s">
        <v>1051</v>
      </c>
      <c r="C474" t="s">
        <v>2017</v>
      </c>
      <c r="D474" s="1">
        <v>46105</v>
      </c>
      <c r="E474" t="s">
        <v>12</v>
      </c>
      <c r="F474" t="s">
        <v>6181</v>
      </c>
      <c r="G47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74">
        <f>Payment_Dataset[[#This Row],[Total Amount]]-Payment_Dataset[[#This Row],[Amount_Paid]]</f>
        <v>15000</v>
      </c>
      <c r="I474">
        <v>0</v>
      </c>
      <c r="J474">
        <v>15000</v>
      </c>
      <c r="K474">
        <v>15000</v>
      </c>
      <c r="L474" t="s">
        <v>4799</v>
      </c>
      <c r="M474" t="s">
        <v>5736</v>
      </c>
    </row>
    <row r="475" spans="1:13" x14ac:dyDescent="0.3">
      <c r="A475" t="s">
        <v>5737</v>
      </c>
      <c r="B475" t="s">
        <v>1053</v>
      </c>
      <c r="C475" t="s">
        <v>733</v>
      </c>
      <c r="D475" s="1">
        <v>46167</v>
      </c>
      <c r="E475" t="s">
        <v>12</v>
      </c>
      <c r="F475" t="s">
        <v>6181</v>
      </c>
      <c r="G47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75">
        <f>Payment_Dataset[[#This Row],[Total Amount]]-Payment_Dataset[[#This Row],[Amount_Paid]]</f>
        <v>13400</v>
      </c>
      <c r="I475">
        <v>0</v>
      </c>
      <c r="J475">
        <v>13400</v>
      </c>
      <c r="K475">
        <v>13400</v>
      </c>
      <c r="L475" t="s">
        <v>4787</v>
      </c>
      <c r="M475" t="s">
        <v>5738</v>
      </c>
    </row>
    <row r="476" spans="1:13" x14ac:dyDescent="0.3">
      <c r="A476" t="s">
        <v>5739</v>
      </c>
      <c r="B476" t="s">
        <v>1055</v>
      </c>
      <c r="C476" t="s">
        <v>1691</v>
      </c>
      <c r="D476" s="1">
        <v>46102</v>
      </c>
      <c r="E476" t="s">
        <v>12</v>
      </c>
      <c r="F476" t="s">
        <v>6181</v>
      </c>
      <c r="G47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76">
        <f>Payment_Dataset[[#This Row],[Total Amount]]-Payment_Dataset[[#This Row],[Amount_Paid]]</f>
        <v>28200</v>
      </c>
      <c r="I476">
        <v>0</v>
      </c>
      <c r="J476">
        <v>28200</v>
      </c>
      <c r="K476">
        <v>28200</v>
      </c>
      <c r="L476" t="s">
        <v>4787</v>
      </c>
      <c r="M476" t="s">
        <v>5740</v>
      </c>
    </row>
    <row r="477" spans="1:13" x14ac:dyDescent="0.3">
      <c r="A477" t="s">
        <v>5741</v>
      </c>
      <c r="B477" t="s">
        <v>1057</v>
      </c>
      <c r="C477" t="s">
        <v>562</v>
      </c>
      <c r="D477" s="1">
        <v>46044</v>
      </c>
      <c r="E477" t="s">
        <v>12</v>
      </c>
      <c r="F477" t="s">
        <v>6181</v>
      </c>
      <c r="G47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77">
        <f>Payment_Dataset[[#This Row],[Total Amount]]-Payment_Dataset[[#This Row],[Amount_Paid]]</f>
        <v>31200</v>
      </c>
      <c r="I477">
        <v>0</v>
      </c>
      <c r="J477">
        <v>31200</v>
      </c>
      <c r="K477">
        <v>31200</v>
      </c>
      <c r="L477" t="s">
        <v>4799</v>
      </c>
      <c r="M477" t="s">
        <v>5742</v>
      </c>
    </row>
    <row r="478" spans="1:13" x14ac:dyDescent="0.3">
      <c r="A478" t="s">
        <v>5743</v>
      </c>
      <c r="B478" t="s">
        <v>1059</v>
      </c>
      <c r="C478" t="s">
        <v>1240</v>
      </c>
      <c r="D478" s="1">
        <v>46073</v>
      </c>
      <c r="E478" t="s">
        <v>12</v>
      </c>
      <c r="F478" t="s">
        <v>6181</v>
      </c>
      <c r="G47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78">
        <f>Payment_Dataset[[#This Row],[Total Amount]]-Payment_Dataset[[#This Row],[Amount_Paid]]</f>
        <v>29400</v>
      </c>
      <c r="I478">
        <v>0</v>
      </c>
      <c r="J478">
        <v>29400</v>
      </c>
      <c r="K478">
        <v>29400</v>
      </c>
      <c r="L478" t="s">
        <v>4793</v>
      </c>
      <c r="M478" t="s">
        <v>5744</v>
      </c>
    </row>
    <row r="479" spans="1:13" x14ac:dyDescent="0.3">
      <c r="A479" t="s">
        <v>5745</v>
      </c>
      <c r="B479" t="s">
        <v>1061</v>
      </c>
      <c r="C479" t="s">
        <v>353</v>
      </c>
      <c r="D479" s="1">
        <v>46023</v>
      </c>
      <c r="E479" t="s">
        <v>38</v>
      </c>
      <c r="F479" t="s">
        <v>6180</v>
      </c>
      <c r="G47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22500</v>
      </c>
      <c r="H479">
        <f>Payment_Dataset[[#This Row],[Total Amount]]-Payment_Dataset[[#This Row],[Amount_Paid]]</f>
        <v>0</v>
      </c>
      <c r="I479">
        <v>22500</v>
      </c>
      <c r="J479">
        <v>0</v>
      </c>
      <c r="K479">
        <v>22500</v>
      </c>
      <c r="L479" t="s">
        <v>4787</v>
      </c>
      <c r="M479" t="s">
        <v>5746</v>
      </c>
    </row>
    <row r="480" spans="1:13" x14ac:dyDescent="0.3">
      <c r="A480" t="s">
        <v>5747</v>
      </c>
      <c r="B480" t="s">
        <v>1063</v>
      </c>
      <c r="C480" t="s">
        <v>3033</v>
      </c>
      <c r="D480" s="1">
        <v>46182</v>
      </c>
      <c r="E480" t="s">
        <v>76</v>
      </c>
      <c r="F480" t="s">
        <v>6183</v>
      </c>
      <c r="G48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80">
        <f>Payment_Dataset[[#This Row],[Total Amount]]-Payment_Dataset[[#This Row],[Amount_Paid]]</f>
        <v>0</v>
      </c>
      <c r="I480">
        <v>0</v>
      </c>
      <c r="J480">
        <v>0</v>
      </c>
      <c r="K480">
        <v>0</v>
      </c>
      <c r="L480" t="s">
        <v>6178</v>
      </c>
      <c r="M480" t="s">
        <v>5748</v>
      </c>
    </row>
    <row r="481" spans="1:13" x14ac:dyDescent="0.3">
      <c r="A481" t="s">
        <v>5749</v>
      </c>
      <c r="B481" t="s">
        <v>1065</v>
      </c>
      <c r="C481" t="s">
        <v>3411</v>
      </c>
      <c r="D481" s="1">
        <v>46172</v>
      </c>
      <c r="E481" t="s">
        <v>38</v>
      </c>
      <c r="F481" t="s">
        <v>6180</v>
      </c>
      <c r="G48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7000</v>
      </c>
      <c r="H481">
        <f>Payment_Dataset[[#This Row],[Total Amount]]-Payment_Dataset[[#This Row],[Amount_Paid]]</f>
        <v>0</v>
      </c>
      <c r="I481">
        <v>7000</v>
      </c>
      <c r="J481">
        <v>0</v>
      </c>
      <c r="K481">
        <v>7000</v>
      </c>
      <c r="L481" t="s">
        <v>4787</v>
      </c>
      <c r="M481" t="s">
        <v>5750</v>
      </c>
    </row>
    <row r="482" spans="1:13" x14ac:dyDescent="0.3">
      <c r="A482" t="s">
        <v>5751</v>
      </c>
      <c r="B482" t="s">
        <v>1067</v>
      </c>
      <c r="C482" t="s">
        <v>1204</v>
      </c>
      <c r="D482" s="1">
        <v>46163</v>
      </c>
      <c r="E482" t="s">
        <v>12</v>
      </c>
      <c r="F482" t="s">
        <v>6181</v>
      </c>
      <c r="G48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82">
        <f>Payment_Dataset[[#This Row],[Total Amount]]-Payment_Dataset[[#This Row],[Amount_Paid]]</f>
        <v>38400</v>
      </c>
      <c r="I482">
        <v>0</v>
      </c>
      <c r="J482">
        <v>38400</v>
      </c>
      <c r="K482">
        <v>38400</v>
      </c>
      <c r="L482" t="s">
        <v>4799</v>
      </c>
      <c r="M482" t="s">
        <v>5752</v>
      </c>
    </row>
    <row r="483" spans="1:13" x14ac:dyDescent="0.3">
      <c r="A483" t="s">
        <v>5753</v>
      </c>
      <c r="B483" t="s">
        <v>1069</v>
      </c>
      <c r="C483" t="s">
        <v>3509</v>
      </c>
      <c r="D483" s="1">
        <v>46178</v>
      </c>
      <c r="E483" t="s">
        <v>38</v>
      </c>
      <c r="F483" t="s">
        <v>6180</v>
      </c>
      <c r="G48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12900</v>
      </c>
      <c r="H483">
        <f>Payment_Dataset[[#This Row],[Total Amount]]-Payment_Dataset[[#This Row],[Amount_Paid]]</f>
        <v>0</v>
      </c>
      <c r="I483">
        <v>12900</v>
      </c>
      <c r="J483">
        <v>0</v>
      </c>
      <c r="K483">
        <v>12900</v>
      </c>
      <c r="L483" t="s">
        <v>4790</v>
      </c>
      <c r="M483" t="s">
        <v>5754</v>
      </c>
    </row>
    <row r="484" spans="1:13" x14ac:dyDescent="0.3">
      <c r="A484" t="s">
        <v>5755</v>
      </c>
      <c r="B484" t="s">
        <v>1071</v>
      </c>
      <c r="C484" t="s">
        <v>3301</v>
      </c>
      <c r="D484" s="1">
        <v>46108</v>
      </c>
      <c r="E484" t="s">
        <v>49</v>
      </c>
      <c r="F484" t="s">
        <v>6182</v>
      </c>
      <c r="G48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11725</v>
      </c>
      <c r="H484">
        <f>Payment_Dataset[[#This Row],[Total Amount]]-Payment_Dataset[[#This Row],[Amount_Paid]]</f>
        <v>21775</v>
      </c>
      <c r="I484">
        <v>11725</v>
      </c>
      <c r="J484">
        <v>21775</v>
      </c>
      <c r="K484">
        <v>33500</v>
      </c>
      <c r="L484" t="s">
        <v>4787</v>
      </c>
      <c r="M484" t="s">
        <v>5756</v>
      </c>
    </row>
    <row r="485" spans="1:13" x14ac:dyDescent="0.3">
      <c r="A485" t="s">
        <v>5757</v>
      </c>
      <c r="B485" t="s">
        <v>1073</v>
      </c>
      <c r="C485" t="s">
        <v>1064</v>
      </c>
      <c r="D485" s="1">
        <v>46183</v>
      </c>
      <c r="E485" t="s">
        <v>38</v>
      </c>
      <c r="F485" t="s">
        <v>6180</v>
      </c>
      <c r="G48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30800</v>
      </c>
      <c r="H485">
        <f>Payment_Dataset[[#This Row],[Total Amount]]-Payment_Dataset[[#This Row],[Amount_Paid]]</f>
        <v>0</v>
      </c>
      <c r="I485">
        <v>30800</v>
      </c>
      <c r="J485">
        <v>0</v>
      </c>
      <c r="K485">
        <v>30800</v>
      </c>
      <c r="L485" t="s">
        <v>4796</v>
      </c>
      <c r="M485" t="s">
        <v>5758</v>
      </c>
    </row>
    <row r="486" spans="1:13" x14ac:dyDescent="0.3">
      <c r="A486" t="s">
        <v>5759</v>
      </c>
      <c r="B486" t="s">
        <v>1075</v>
      </c>
      <c r="C486" t="s">
        <v>2549</v>
      </c>
      <c r="D486" s="1">
        <v>46204</v>
      </c>
      <c r="E486" t="s">
        <v>12</v>
      </c>
      <c r="F486" t="s">
        <v>6181</v>
      </c>
      <c r="G48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86">
        <f>Payment_Dataset[[#This Row],[Total Amount]]-Payment_Dataset[[#This Row],[Amount_Paid]]</f>
        <v>4300</v>
      </c>
      <c r="I486">
        <v>0</v>
      </c>
      <c r="J486">
        <v>4300</v>
      </c>
      <c r="K486">
        <v>4300</v>
      </c>
      <c r="L486" t="s">
        <v>4799</v>
      </c>
      <c r="M486" t="s">
        <v>5760</v>
      </c>
    </row>
    <row r="487" spans="1:13" x14ac:dyDescent="0.3">
      <c r="A487" t="s">
        <v>5761</v>
      </c>
      <c r="B487" t="s">
        <v>1077</v>
      </c>
      <c r="C487" t="s">
        <v>3976</v>
      </c>
      <c r="D487" s="1">
        <v>46190</v>
      </c>
      <c r="E487" t="s">
        <v>12</v>
      </c>
      <c r="F487" t="s">
        <v>6181</v>
      </c>
      <c r="G48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87">
        <f>Payment_Dataset[[#This Row],[Total Amount]]-Payment_Dataset[[#This Row],[Amount_Paid]]</f>
        <v>14000</v>
      </c>
      <c r="I487">
        <v>0</v>
      </c>
      <c r="J487">
        <v>14000</v>
      </c>
      <c r="K487">
        <v>14000</v>
      </c>
      <c r="L487" t="s">
        <v>4793</v>
      </c>
      <c r="M487" t="s">
        <v>5762</v>
      </c>
    </row>
    <row r="488" spans="1:13" x14ac:dyDescent="0.3">
      <c r="A488" t="s">
        <v>5763</v>
      </c>
      <c r="B488" t="s">
        <v>1079</v>
      </c>
      <c r="C488" t="s">
        <v>562</v>
      </c>
      <c r="D488" s="1">
        <v>46137</v>
      </c>
      <c r="E488" t="s">
        <v>12</v>
      </c>
      <c r="F488" t="s">
        <v>6181</v>
      </c>
      <c r="G48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88">
        <f>Payment_Dataset[[#This Row],[Total Amount]]-Payment_Dataset[[#This Row],[Amount_Paid]]</f>
        <v>53900</v>
      </c>
      <c r="I488">
        <v>0</v>
      </c>
      <c r="J488">
        <v>53900</v>
      </c>
      <c r="K488">
        <v>53900</v>
      </c>
      <c r="L488" t="s">
        <v>4790</v>
      </c>
      <c r="M488" t="s">
        <v>5764</v>
      </c>
    </row>
    <row r="489" spans="1:13" x14ac:dyDescent="0.3">
      <c r="A489" t="s">
        <v>5765</v>
      </c>
      <c r="B489" t="s">
        <v>1081</v>
      </c>
      <c r="C489" t="s">
        <v>944</v>
      </c>
      <c r="D489" s="1">
        <v>46131</v>
      </c>
      <c r="E489" t="s">
        <v>12</v>
      </c>
      <c r="F489" t="s">
        <v>6181</v>
      </c>
      <c r="G48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89">
        <f>Payment_Dataset[[#This Row],[Total Amount]]-Payment_Dataset[[#This Row],[Amount_Paid]]</f>
        <v>32900</v>
      </c>
      <c r="I489">
        <v>0</v>
      </c>
      <c r="J489">
        <v>32900</v>
      </c>
      <c r="K489">
        <v>32900</v>
      </c>
      <c r="L489" t="s">
        <v>4790</v>
      </c>
      <c r="M489" t="s">
        <v>5766</v>
      </c>
    </row>
    <row r="490" spans="1:13" x14ac:dyDescent="0.3">
      <c r="A490" t="s">
        <v>5767</v>
      </c>
      <c r="B490" t="s">
        <v>1083</v>
      </c>
      <c r="C490" t="s">
        <v>53</v>
      </c>
      <c r="D490" s="1">
        <v>46054</v>
      </c>
      <c r="E490" t="s">
        <v>38</v>
      </c>
      <c r="F490" t="s">
        <v>6180</v>
      </c>
      <c r="G49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36000</v>
      </c>
      <c r="H490">
        <f>Payment_Dataset[[#This Row],[Total Amount]]-Payment_Dataset[[#This Row],[Amount_Paid]]</f>
        <v>0</v>
      </c>
      <c r="I490">
        <v>36000</v>
      </c>
      <c r="J490">
        <v>0</v>
      </c>
      <c r="K490">
        <v>36000</v>
      </c>
      <c r="L490" t="s">
        <v>4799</v>
      </c>
      <c r="M490" t="s">
        <v>5768</v>
      </c>
    </row>
    <row r="491" spans="1:13" x14ac:dyDescent="0.3">
      <c r="A491" t="s">
        <v>5769</v>
      </c>
      <c r="B491" t="s">
        <v>1085</v>
      </c>
      <c r="C491" t="s">
        <v>3809</v>
      </c>
      <c r="D491" s="1">
        <v>46154</v>
      </c>
      <c r="E491" t="s">
        <v>49</v>
      </c>
      <c r="F491" t="s">
        <v>6182</v>
      </c>
      <c r="G49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11760</v>
      </c>
      <c r="H491">
        <f>Payment_Dataset[[#This Row],[Total Amount]]-Payment_Dataset[[#This Row],[Amount_Paid]]</f>
        <v>21840</v>
      </c>
      <c r="I491">
        <v>11760</v>
      </c>
      <c r="J491">
        <v>21840</v>
      </c>
      <c r="K491">
        <v>33600</v>
      </c>
      <c r="L491" t="s">
        <v>4799</v>
      </c>
      <c r="M491" t="s">
        <v>5770</v>
      </c>
    </row>
    <row r="492" spans="1:13" x14ac:dyDescent="0.3">
      <c r="A492" t="s">
        <v>5771</v>
      </c>
      <c r="B492" t="s">
        <v>1087</v>
      </c>
      <c r="C492" t="s">
        <v>4356</v>
      </c>
      <c r="D492" s="1">
        <v>46096</v>
      </c>
      <c r="E492" t="s">
        <v>12</v>
      </c>
      <c r="F492" t="s">
        <v>6181</v>
      </c>
      <c r="G49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92">
        <f>Payment_Dataset[[#This Row],[Total Amount]]-Payment_Dataset[[#This Row],[Amount_Paid]]</f>
        <v>54000</v>
      </c>
      <c r="I492">
        <v>0</v>
      </c>
      <c r="J492">
        <v>54000</v>
      </c>
      <c r="K492">
        <v>54000</v>
      </c>
      <c r="L492" t="s">
        <v>4787</v>
      </c>
      <c r="M492" t="s">
        <v>5772</v>
      </c>
    </row>
    <row r="493" spans="1:13" x14ac:dyDescent="0.3">
      <c r="A493" t="s">
        <v>5773</v>
      </c>
      <c r="B493" t="s">
        <v>1089</v>
      </c>
      <c r="C493" t="s">
        <v>355</v>
      </c>
      <c r="D493" s="1">
        <v>46193</v>
      </c>
      <c r="E493" t="s">
        <v>38</v>
      </c>
      <c r="F493" t="s">
        <v>6180</v>
      </c>
      <c r="G49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39000</v>
      </c>
      <c r="H493">
        <f>Payment_Dataset[[#This Row],[Total Amount]]-Payment_Dataset[[#This Row],[Amount_Paid]]</f>
        <v>0</v>
      </c>
      <c r="I493">
        <v>39000</v>
      </c>
      <c r="J493">
        <v>0</v>
      </c>
      <c r="K493">
        <v>39000</v>
      </c>
      <c r="L493" t="s">
        <v>4796</v>
      </c>
      <c r="M493" t="s">
        <v>5774</v>
      </c>
    </row>
    <row r="494" spans="1:13" x14ac:dyDescent="0.3">
      <c r="A494" t="s">
        <v>5775</v>
      </c>
      <c r="B494" t="s">
        <v>1091</v>
      </c>
      <c r="C494" t="s">
        <v>1611</v>
      </c>
      <c r="D494" s="1">
        <v>46078</v>
      </c>
      <c r="E494" t="s">
        <v>12</v>
      </c>
      <c r="F494" t="s">
        <v>6181</v>
      </c>
      <c r="G49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94">
        <f>Payment_Dataset[[#This Row],[Total Amount]]-Payment_Dataset[[#This Row],[Amount_Paid]]</f>
        <v>35000</v>
      </c>
      <c r="I494">
        <v>0</v>
      </c>
      <c r="J494">
        <v>35000</v>
      </c>
      <c r="K494">
        <v>35000</v>
      </c>
      <c r="L494" t="s">
        <v>4796</v>
      </c>
      <c r="M494" t="s">
        <v>5776</v>
      </c>
    </row>
    <row r="495" spans="1:13" x14ac:dyDescent="0.3">
      <c r="A495" t="s">
        <v>5777</v>
      </c>
      <c r="B495" t="s">
        <v>1093</v>
      </c>
      <c r="C495" t="s">
        <v>610</v>
      </c>
      <c r="D495" s="1">
        <v>46095</v>
      </c>
      <c r="E495" t="s">
        <v>12</v>
      </c>
      <c r="F495" t="s">
        <v>6181</v>
      </c>
      <c r="G49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95">
        <f>Payment_Dataset[[#This Row],[Total Amount]]-Payment_Dataset[[#This Row],[Amount_Paid]]</f>
        <v>32900</v>
      </c>
      <c r="I495">
        <v>0</v>
      </c>
      <c r="J495">
        <v>32900</v>
      </c>
      <c r="K495">
        <v>32900</v>
      </c>
      <c r="L495" t="s">
        <v>4799</v>
      </c>
      <c r="M495" t="s">
        <v>5778</v>
      </c>
    </row>
    <row r="496" spans="1:13" x14ac:dyDescent="0.3">
      <c r="A496" t="s">
        <v>5779</v>
      </c>
      <c r="B496" t="s">
        <v>1095</v>
      </c>
      <c r="C496" t="s">
        <v>1901</v>
      </c>
      <c r="D496" s="1">
        <v>46152</v>
      </c>
      <c r="E496" t="s">
        <v>12</v>
      </c>
      <c r="F496" t="s">
        <v>6181</v>
      </c>
      <c r="G49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96">
        <f>Payment_Dataset[[#This Row],[Total Amount]]-Payment_Dataset[[#This Row],[Amount_Paid]]</f>
        <v>46200</v>
      </c>
      <c r="I496">
        <v>0</v>
      </c>
      <c r="J496">
        <v>46200</v>
      </c>
      <c r="K496">
        <v>46200</v>
      </c>
      <c r="L496" t="s">
        <v>4790</v>
      </c>
      <c r="M496" t="s">
        <v>5780</v>
      </c>
    </row>
    <row r="497" spans="1:13" x14ac:dyDescent="0.3">
      <c r="A497" t="s">
        <v>5781</v>
      </c>
      <c r="B497" t="s">
        <v>1097</v>
      </c>
      <c r="C497" t="s">
        <v>2082</v>
      </c>
      <c r="D497" s="1">
        <v>46136</v>
      </c>
      <c r="E497" t="s">
        <v>38</v>
      </c>
      <c r="F497" t="s">
        <v>6180</v>
      </c>
      <c r="G49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13000</v>
      </c>
      <c r="H497">
        <f>Payment_Dataset[[#This Row],[Total Amount]]-Payment_Dataset[[#This Row],[Amount_Paid]]</f>
        <v>0</v>
      </c>
      <c r="I497">
        <v>13000</v>
      </c>
      <c r="J497">
        <v>0</v>
      </c>
      <c r="K497">
        <v>13000</v>
      </c>
      <c r="L497" t="s">
        <v>4796</v>
      </c>
      <c r="M497" t="s">
        <v>5782</v>
      </c>
    </row>
    <row r="498" spans="1:13" x14ac:dyDescent="0.3">
      <c r="A498" t="s">
        <v>5783</v>
      </c>
      <c r="B498" t="s">
        <v>1099</v>
      </c>
      <c r="C498" t="s">
        <v>4049</v>
      </c>
      <c r="D498" s="1">
        <v>46028</v>
      </c>
      <c r="E498" t="s">
        <v>12</v>
      </c>
      <c r="F498" t="s">
        <v>6181</v>
      </c>
      <c r="G49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98">
        <f>Payment_Dataset[[#This Row],[Total Amount]]-Payment_Dataset[[#This Row],[Amount_Paid]]</f>
        <v>36000</v>
      </c>
      <c r="I498">
        <v>0</v>
      </c>
      <c r="J498">
        <v>36000</v>
      </c>
      <c r="K498">
        <v>36000</v>
      </c>
      <c r="L498" t="s">
        <v>4790</v>
      </c>
      <c r="M498" t="s">
        <v>5784</v>
      </c>
    </row>
    <row r="499" spans="1:13" x14ac:dyDescent="0.3">
      <c r="A499" t="s">
        <v>5785</v>
      </c>
      <c r="B499" t="s">
        <v>1101</v>
      </c>
      <c r="C499" t="s">
        <v>2725</v>
      </c>
      <c r="D499" s="1">
        <v>46101</v>
      </c>
      <c r="E499" t="s">
        <v>12</v>
      </c>
      <c r="F499" t="s">
        <v>6181</v>
      </c>
      <c r="G49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499">
        <f>Payment_Dataset[[#This Row],[Total Amount]]-Payment_Dataset[[#This Row],[Amount_Paid]]</f>
        <v>20000</v>
      </c>
      <c r="I499">
        <v>0</v>
      </c>
      <c r="J499">
        <v>20000</v>
      </c>
      <c r="K499">
        <v>20000</v>
      </c>
      <c r="L499" t="s">
        <v>4787</v>
      </c>
      <c r="M499" t="s">
        <v>5786</v>
      </c>
    </row>
    <row r="500" spans="1:13" x14ac:dyDescent="0.3">
      <c r="A500" t="s">
        <v>5787</v>
      </c>
      <c r="B500" t="s">
        <v>1103</v>
      </c>
      <c r="C500" t="s">
        <v>4054</v>
      </c>
      <c r="D500" s="1">
        <v>46094</v>
      </c>
      <c r="E500" t="s">
        <v>12</v>
      </c>
      <c r="F500" t="s">
        <v>6181</v>
      </c>
      <c r="G50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00">
        <f>Payment_Dataset[[#This Row],[Total Amount]]-Payment_Dataset[[#This Row],[Amount_Paid]]</f>
        <v>20700</v>
      </c>
      <c r="I500">
        <v>0</v>
      </c>
      <c r="J500">
        <v>20700</v>
      </c>
      <c r="K500">
        <v>20700</v>
      </c>
      <c r="L500" t="s">
        <v>4790</v>
      </c>
      <c r="M500" t="s">
        <v>5788</v>
      </c>
    </row>
    <row r="501" spans="1:13" x14ac:dyDescent="0.3">
      <c r="A501" t="s">
        <v>5789</v>
      </c>
      <c r="B501" t="s">
        <v>1105</v>
      </c>
      <c r="C501" t="s">
        <v>3751</v>
      </c>
      <c r="D501" s="1">
        <v>46188</v>
      </c>
      <c r="E501" t="s">
        <v>12</v>
      </c>
      <c r="F501" t="s">
        <v>6181</v>
      </c>
      <c r="G50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01">
        <f>Payment_Dataset[[#This Row],[Total Amount]]-Payment_Dataset[[#This Row],[Amount_Paid]]</f>
        <v>18600</v>
      </c>
      <c r="I501">
        <v>0</v>
      </c>
      <c r="J501">
        <v>18600</v>
      </c>
      <c r="K501">
        <v>18600</v>
      </c>
      <c r="L501" t="s">
        <v>4799</v>
      </c>
      <c r="M501" t="s">
        <v>5790</v>
      </c>
    </row>
    <row r="502" spans="1:13" x14ac:dyDescent="0.3">
      <c r="A502" t="s">
        <v>5791</v>
      </c>
      <c r="B502" t="s">
        <v>1107</v>
      </c>
      <c r="C502" t="s">
        <v>1308</v>
      </c>
      <c r="D502" s="1">
        <v>46129</v>
      </c>
      <c r="E502" t="s">
        <v>49</v>
      </c>
      <c r="F502" t="s">
        <v>6182</v>
      </c>
      <c r="G50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6580</v>
      </c>
      <c r="H502">
        <f>Payment_Dataset[[#This Row],[Total Amount]]-Payment_Dataset[[#This Row],[Amount_Paid]]</f>
        <v>12220</v>
      </c>
      <c r="I502">
        <v>6580</v>
      </c>
      <c r="J502">
        <v>12220</v>
      </c>
      <c r="K502">
        <v>18800</v>
      </c>
      <c r="L502" t="s">
        <v>4796</v>
      </c>
      <c r="M502" t="s">
        <v>5792</v>
      </c>
    </row>
    <row r="503" spans="1:13" x14ac:dyDescent="0.3">
      <c r="A503" t="s">
        <v>5793</v>
      </c>
      <c r="B503" t="s">
        <v>1109</v>
      </c>
      <c r="C503" t="s">
        <v>2365</v>
      </c>
      <c r="D503" s="1">
        <v>46142</v>
      </c>
      <c r="E503" t="s">
        <v>38</v>
      </c>
      <c r="F503" t="s">
        <v>6180</v>
      </c>
      <c r="G50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8400</v>
      </c>
      <c r="H503">
        <f>Payment_Dataset[[#This Row],[Total Amount]]-Payment_Dataset[[#This Row],[Amount_Paid]]</f>
        <v>0</v>
      </c>
      <c r="I503">
        <v>8400</v>
      </c>
      <c r="J503">
        <v>0</v>
      </c>
      <c r="K503">
        <v>8400</v>
      </c>
      <c r="L503" t="s">
        <v>4790</v>
      </c>
      <c r="M503" t="s">
        <v>5794</v>
      </c>
    </row>
    <row r="504" spans="1:13" x14ac:dyDescent="0.3">
      <c r="A504" t="s">
        <v>5795</v>
      </c>
      <c r="B504" t="s">
        <v>1111</v>
      </c>
      <c r="C504" t="s">
        <v>3169</v>
      </c>
      <c r="D504" s="1">
        <v>46160</v>
      </c>
      <c r="E504" t="s">
        <v>12</v>
      </c>
      <c r="F504" t="s">
        <v>6181</v>
      </c>
      <c r="G50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04">
        <f>Payment_Dataset[[#This Row],[Total Amount]]-Payment_Dataset[[#This Row],[Amount_Paid]]</f>
        <v>49000</v>
      </c>
      <c r="I504">
        <v>0</v>
      </c>
      <c r="J504">
        <v>49000</v>
      </c>
      <c r="K504">
        <v>49000</v>
      </c>
      <c r="L504" t="s">
        <v>4787</v>
      </c>
      <c r="M504" t="s">
        <v>5796</v>
      </c>
    </row>
    <row r="505" spans="1:13" x14ac:dyDescent="0.3">
      <c r="A505" t="s">
        <v>5797</v>
      </c>
      <c r="B505" t="s">
        <v>1113</v>
      </c>
      <c r="C505" t="s">
        <v>1839</v>
      </c>
      <c r="D505" s="1">
        <v>46063</v>
      </c>
      <c r="E505" t="s">
        <v>12</v>
      </c>
      <c r="F505" t="s">
        <v>6181</v>
      </c>
      <c r="G50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05">
        <f>Payment_Dataset[[#This Row],[Total Amount]]-Payment_Dataset[[#This Row],[Amount_Paid]]</f>
        <v>42000</v>
      </c>
      <c r="I505">
        <v>0</v>
      </c>
      <c r="J505">
        <v>42000</v>
      </c>
      <c r="K505">
        <v>42000</v>
      </c>
      <c r="L505" t="s">
        <v>4796</v>
      </c>
      <c r="M505" t="s">
        <v>5798</v>
      </c>
    </row>
    <row r="506" spans="1:13" x14ac:dyDescent="0.3">
      <c r="A506" t="s">
        <v>5799</v>
      </c>
      <c r="B506" t="s">
        <v>1115</v>
      </c>
      <c r="C506" t="s">
        <v>2412</v>
      </c>
      <c r="D506" s="1">
        <v>46125</v>
      </c>
      <c r="E506" t="s">
        <v>49</v>
      </c>
      <c r="F506" t="s">
        <v>6182</v>
      </c>
      <c r="G50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8820</v>
      </c>
      <c r="H506">
        <f>Payment_Dataset[[#This Row],[Total Amount]]-Payment_Dataset[[#This Row],[Amount_Paid]]</f>
        <v>16380</v>
      </c>
      <c r="I506">
        <v>8820</v>
      </c>
      <c r="J506">
        <v>16380</v>
      </c>
      <c r="K506">
        <v>25200</v>
      </c>
      <c r="L506" t="s">
        <v>4787</v>
      </c>
      <c r="M506" t="s">
        <v>5800</v>
      </c>
    </row>
    <row r="507" spans="1:13" x14ac:dyDescent="0.3">
      <c r="A507" t="s">
        <v>5801</v>
      </c>
      <c r="B507" t="s">
        <v>1117</v>
      </c>
      <c r="C507" t="s">
        <v>321</v>
      </c>
      <c r="D507" s="1">
        <v>46066</v>
      </c>
      <c r="E507" t="s">
        <v>12</v>
      </c>
      <c r="F507" t="s">
        <v>6181</v>
      </c>
      <c r="G50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07">
        <f>Payment_Dataset[[#This Row],[Total Amount]]-Payment_Dataset[[#This Row],[Amount_Paid]]</f>
        <v>18800</v>
      </c>
      <c r="I507">
        <v>0</v>
      </c>
      <c r="J507">
        <v>18800</v>
      </c>
      <c r="K507">
        <v>18800</v>
      </c>
      <c r="L507" t="s">
        <v>4796</v>
      </c>
      <c r="M507" t="s">
        <v>5802</v>
      </c>
    </row>
    <row r="508" spans="1:13" x14ac:dyDescent="0.3">
      <c r="A508" t="s">
        <v>5803</v>
      </c>
      <c r="B508" t="s">
        <v>1119</v>
      </c>
      <c r="C508" t="s">
        <v>2620</v>
      </c>
      <c r="D508" s="1">
        <v>46048</v>
      </c>
      <c r="E508" t="s">
        <v>76</v>
      </c>
      <c r="F508" t="s">
        <v>6183</v>
      </c>
      <c r="G50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08">
        <f>Payment_Dataset[[#This Row],[Total Amount]]-Payment_Dataset[[#This Row],[Amount_Paid]]</f>
        <v>0</v>
      </c>
      <c r="I508">
        <v>0</v>
      </c>
      <c r="J508">
        <v>0</v>
      </c>
      <c r="K508">
        <v>0</v>
      </c>
      <c r="L508" t="s">
        <v>6178</v>
      </c>
      <c r="M508" t="s">
        <v>5804</v>
      </c>
    </row>
    <row r="509" spans="1:13" x14ac:dyDescent="0.3">
      <c r="A509" t="s">
        <v>5805</v>
      </c>
      <c r="B509" t="s">
        <v>1121</v>
      </c>
      <c r="C509" t="s">
        <v>1040</v>
      </c>
      <c r="D509" s="1">
        <v>46067</v>
      </c>
      <c r="E509" t="s">
        <v>12</v>
      </c>
      <c r="F509" t="s">
        <v>6181</v>
      </c>
      <c r="G50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09">
        <f>Payment_Dataset[[#This Row],[Total Amount]]-Payment_Dataset[[#This Row],[Amount_Paid]]</f>
        <v>21600</v>
      </c>
      <c r="I509">
        <v>0</v>
      </c>
      <c r="J509">
        <v>21600</v>
      </c>
      <c r="K509">
        <v>21600</v>
      </c>
      <c r="L509" t="s">
        <v>4796</v>
      </c>
      <c r="M509" t="s">
        <v>5806</v>
      </c>
    </row>
    <row r="510" spans="1:13" x14ac:dyDescent="0.3">
      <c r="A510" t="s">
        <v>5807</v>
      </c>
      <c r="B510" t="s">
        <v>1123</v>
      </c>
      <c r="C510" t="s">
        <v>3821</v>
      </c>
      <c r="D510" s="1">
        <v>46172</v>
      </c>
      <c r="E510" t="s">
        <v>76</v>
      </c>
      <c r="F510" t="s">
        <v>6183</v>
      </c>
      <c r="G51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10">
        <f>Payment_Dataset[[#This Row],[Total Amount]]-Payment_Dataset[[#This Row],[Amount_Paid]]</f>
        <v>0</v>
      </c>
      <c r="I510">
        <v>0</v>
      </c>
      <c r="J510">
        <v>0</v>
      </c>
      <c r="K510">
        <v>0</v>
      </c>
      <c r="L510" t="s">
        <v>6178</v>
      </c>
      <c r="M510" t="s">
        <v>5808</v>
      </c>
    </row>
    <row r="511" spans="1:13" x14ac:dyDescent="0.3">
      <c r="A511" t="s">
        <v>5809</v>
      </c>
      <c r="B511" t="s">
        <v>1125</v>
      </c>
      <c r="C511" t="s">
        <v>519</v>
      </c>
      <c r="D511" s="1">
        <v>46064</v>
      </c>
      <c r="E511" t="s">
        <v>12</v>
      </c>
      <c r="F511" t="s">
        <v>6181</v>
      </c>
      <c r="G51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11">
        <f>Payment_Dataset[[#This Row],[Total Amount]]-Payment_Dataset[[#This Row],[Amount_Paid]]</f>
        <v>39000</v>
      </c>
      <c r="I511">
        <v>0</v>
      </c>
      <c r="J511">
        <v>39000</v>
      </c>
      <c r="K511">
        <v>39000</v>
      </c>
      <c r="L511" t="s">
        <v>4787</v>
      </c>
      <c r="M511" t="s">
        <v>5810</v>
      </c>
    </row>
    <row r="512" spans="1:13" x14ac:dyDescent="0.3">
      <c r="A512" t="s">
        <v>5811</v>
      </c>
      <c r="B512" t="s">
        <v>1127</v>
      </c>
      <c r="C512" t="s">
        <v>187</v>
      </c>
      <c r="D512" s="1">
        <v>46030</v>
      </c>
      <c r="E512" t="s">
        <v>12</v>
      </c>
      <c r="F512" t="s">
        <v>6181</v>
      </c>
      <c r="G51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12">
        <f>Payment_Dataset[[#This Row],[Total Amount]]-Payment_Dataset[[#This Row],[Amount_Paid]]</f>
        <v>21600</v>
      </c>
      <c r="I512">
        <v>0</v>
      </c>
      <c r="J512">
        <v>21600</v>
      </c>
      <c r="K512">
        <v>21600</v>
      </c>
      <c r="L512" t="s">
        <v>4790</v>
      </c>
      <c r="M512" t="s">
        <v>5812</v>
      </c>
    </row>
    <row r="513" spans="1:13" x14ac:dyDescent="0.3">
      <c r="A513" t="s">
        <v>5813</v>
      </c>
      <c r="B513" t="s">
        <v>1129</v>
      </c>
      <c r="C513" t="s">
        <v>1116</v>
      </c>
      <c r="D513" s="1">
        <v>46201</v>
      </c>
      <c r="E513" t="s">
        <v>12</v>
      </c>
      <c r="F513" t="s">
        <v>6181</v>
      </c>
      <c r="G51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13">
        <f>Payment_Dataset[[#This Row],[Total Amount]]-Payment_Dataset[[#This Row],[Amount_Paid]]</f>
        <v>23400</v>
      </c>
      <c r="I513">
        <v>0</v>
      </c>
      <c r="J513">
        <v>23400</v>
      </c>
      <c r="K513">
        <v>23400</v>
      </c>
      <c r="L513" t="s">
        <v>4796</v>
      </c>
      <c r="M513" t="s">
        <v>5814</v>
      </c>
    </row>
    <row r="514" spans="1:13" x14ac:dyDescent="0.3">
      <c r="A514" t="s">
        <v>5815</v>
      </c>
      <c r="B514" t="s">
        <v>1131</v>
      </c>
      <c r="C514" t="s">
        <v>723</v>
      </c>
      <c r="D514" s="1">
        <v>46155</v>
      </c>
      <c r="E514" t="s">
        <v>38</v>
      </c>
      <c r="F514" t="s">
        <v>6180</v>
      </c>
      <c r="G51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14100</v>
      </c>
      <c r="H514">
        <f>Payment_Dataset[[#This Row],[Total Amount]]-Payment_Dataset[[#This Row],[Amount_Paid]]</f>
        <v>0</v>
      </c>
      <c r="I514">
        <v>14100</v>
      </c>
      <c r="J514">
        <v>0</v>
      </c>
      <c r="K514">
        <v>14100</v>
      </c>
      <c r="L514" t="s">
        <v>4787</v>
      </c>
      <c r="M514" t="s">
        <v>5816</v>
      </c>
    </row>
    <row r="515" spans="1:13" x14ac:dyDescent="0.3">
      <c r="A515" t="s">
        <v>5817</v>
      </c>
      <c r="B515" t="s">
        <v>1133</v>
      </c>
      <c r="C515" t="s">
        <v>1988</v>
      </c>
      <c r="D515" s="1">
        <v>46039</v>
      </c>
      <c r="E515" t="s">
        <v>38</v>
      </c>
      <c r="F515" t="s">
        <v>6180</v>
      </c>
      <c r="G51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13000</v>
      </c>
      <c r="H515">
        <f>Payment_Dataset[[#This Row],[Total Amount]]-Payment_Dataset[[#This Row],[Amount_Paid]]</f>
        <v>0</v>
      </c>
      <c r="I515">
        <v>13000</v>
      </c>
      <c r="J515">
        <v>0</v>
      </c>
      <c r="K515">
        <v>13000</v>
      </c>
      <c r="L515" t="s">
        <v>4793</v>
      </c>
      <c r="M515" t="s">
        <v>5818</v>
      </c>
    </row>
    <row r="516" spans="1:13" x14ac:dyDescent="0.3">
      <c r="A516" t="s">
        <v>5819</v>
      </c>
      <c r="B516" t="s">
        <v>1135</v>
      </c>
      <c r="C516" t="s">
        <v>1580</v>
      </c>
      <c r="D516" s="1">
        <v>46169</v>
      </c>
      <c r="E516" t="s">
        <v>12</v>
      </c>
      <c r="F516" t="s">
        <v>6181</v>
      </c>
      <c r="G51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16">
        <f>Payment_Dataset[[#This Row],[Total Amount]]-Payment_Dataset[[#This Row],[Amount_Paid]]</f>
        <v>39000</v>
      </c>
      <c r="I516">
        <v>0</v>
      </c>
      <c r="J516">
        <v>39000</v>
      </c>
      <c r="K516">
        <v>39000</v>
      </c>
      <c r="L516" t="s">
        <v>4787</v>
      </c>
      <c r="M516" t="s">
        <v>5820</v>
      </c>
    </row>
    <row r="517" spans="1:13" x14ac:dyDescent="0.3">
      <c r="A517" t="s">
        <v>5821</v>
      </c>
      <c r="B517" t="s">
        <v>1137</v>
      </c>
      <c r="C517" t="s">
        <v>114</v>
      </c>
      <c r="D517" s="1">
        <v>46085</v>
      </c>
      <c r="E517" t="s">
        <v>12</v>
      </c>
      <c r="F517" t="s">
        <v>6181</v>
      </c>
      <c r="G51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17">
        <f>Payment_Dataset[[#This Row],[Total Amount]]-Payment_Dataset[[#This Row],[Amount_Paid]]</f>
        <v>12600</v>
      </c>
      <c r="I517">
        <v>0</v>
      </c>
      <c r="J517">
        <v>12600</v>
      </c>
      <c r="K517">
        <v>12600</v>
      </c>
      <c r="L517" t="s">
        <v>4787</v>
      </c>
      <c r="M517" t="s">
        <v>5822</v>
      </c>
    </row>
    <row r="518" spans="1:13" x14ac:dyDescent="0.3">
      <c r="A518" t="s">
        <v>5823</v>
      </c>
      <c r="B518" t="s">
        <v>1139</v>
      </c>
      <c r="C518" t="s">
        <v>725</v>
      </c>
      <c r="D518" s="1">
        <v>46028</v>
      </c>
      <c r="E518" t="s">
        <v>12</v>
      </c>
      <c r="F518" t="s">
        <v>6181</v>
      </c>
      <c r="G51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18">
        <f>Payment_Dataset[[#This Row],[Total Amount]]-Payment_Dataset[[#This Row],[Amount_Paid]]</f>
        <v>26000</v>
      </c>
      <c r="I518">
        <v>0</v>
      </c>
      <c r="J518">
        <v>26000</v>
      </c>
      <c r="K518">
        <v>26000</v>
      </c>
      <c r="L518" t="s">
        <v>4790</v>
      </c>
      <c r="M518" t="s">
        <v>5824</v>
      </c>
    </row>
    <row r="519" spans="1:13" x14ac:dyDescent="0.3">
      <c r="A519" t="s">
        <v>5825</v>
      </c>
      <c r="B519" t="s">
        <v>1141</v>
      </c>
      <c r="C519" t="s">
        <v>1308</v>
      </c>
      <c r="D519" s="1">
        <v>46172</v>
      </c>
      <c r="E519" t="s">
        <v>12</v>
      </c>
      <c r="F519" t="s">
        <v>6181</v>
      </c>
      <c r="G51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19">
        <f>Payment_Dataset[[#This Row],[Total Amount]]-Payment_Dataset[[#This Row],[Amount_Paid]]</f>
        <v>5000</v>
      </c>
      <c r="I519">
        <v>0</v>
      </c>
      <c r="J519">
        <v>5000</v>
      </c>
      <c r="K519">
        <v>5000</v>
      </c>
      <c r="L519" t="s">
        <v>4796</v>
      </c>
      <c r="M519" t="s">
        <v>5826</v>
      </c>
    </row>
    <row r="520" spans="1:13" x14ac:dyDescent="0.3">
      <c r="A520" t="s">
        <v>5827</v>
      </c>
      <c r="B520" t="s">
        <v>1143</v>
      </c>
      <c r="C520" t="s">
        <v>3642</v>
      </c>
      <c r="D520" s="1">
        <v>46087</v>
      </c>
      <c r="E520" t="s">
        <v>12</v>
      </c>
      <c r="F520" t="s">
        <v>6181</v>
      </c>
      <c r="G52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20">
        <f>Payment_Dataset[[#This Row],[Total Amount]]-Payment_Dataset[[#This Row],[Amount_Paid]]</f>
        <v>32900</v>
      </c>
      <c r="I520">
        <v>0</v>
      </c>
      <c r="J520">
        <v>32900</v>
      </c>
      <c r="K520">
        <v>32900</v>
      </c>
      <c r="L520" t="s">
        <v>4799</v>
      </c>
      <c r="M520" t="s">
        <v>5828</v>
      </c>
    </row>
    <row r="521" spans="1:13" x14ac:dyDescent="0.3">
      <c r="A521" t="s">
        <v>5829</v>
      </c>
      <c r="B521" t="s">
        <v>1145</v>
      </c>
      <c r="C521" t="s">
        <v>2786</v>
      </c>
      <c r="D521" s="1">
        <v>46149</v>
      </c>
      <c r="E521" t="s">
        <v>12</v>
      </c>
      <c r="F521" t="s">
        <v>6181</v>
      </c>
      <c r="G52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21">
        <f>Payment_Dataset[[#This Row],[Total Amount]]-Payment_Dataset[[#This Row],[Amount_Paid]]</f>
        <v>32400</v>
      </c>
      <c r="I521">
        <v>0</v>
      </c>
      <c r="J521">
        <v>32400</v>
      </c>
      <c r="K521">
        <v>32400</v>
      </c>
      <c r="L521" t="s">
        <v>4796</v>
      </c>
      <c r="M521" t="s">
        <v>5830</v>
      </c>
    </row>
    <row r="522" spans="1:13" x14ac:dyDescent="0.3">
      <c r="A522" t="s">
        <v>5831</v>
      </c>
      <c r="B522" t="s">
        <v>1147</v>
      </c>
      <c r="C522" t="s">
        <v>2113</v>
      </c>
      <c r="D522" s="1">
        <v>46154</v>
      </c>
      <c r="E522" t="s">
        <v>12</v>
      </c>
      <c r="F522" t="s">
        <v>6181</v>
      </c>
      <c r="G52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22">
        <f>Payment_Dataset[[#This Row],[Total Amount]]-Payment_Dataset[[#This Row],[Amount_Paid]]</f>
        <v>32400</v>
      </c>
      <c r="I522">
        <v>0</v>
      </c>
      <c r="J522">
        <v>32400</v>
      </c>
      <c r="K522">
        <v>32400</v>
      </c>
      <c r="L522" t="s">
        <v>4793</v>
      </c>
      <c r="M522" t="s">
        <v>5832</v>
      </c>
    </row>
    <row r="523" spans="1:13" x14ac:dyDescent="0.3">
      <c r="A523" t="s">
        <v>5833</v>
      </c>
      <c r="B523" t="s">
        <v>1149</v>
      </c>
      <c r="C523" t="s">
        <v>4194</v>
      </c>
      <c r="D523" s="1">
        <v>46192</v>
      </c>
      <c r="E523" t="s">
        <v>12</v>
      </c>
      <c r="F523" t="s">
        <v>6181</v>
      </c>
      <c r="G52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23">
        <f>Payment_Dataset[[#This Row],[Total Amount]]-Payment_Dataset[[#This Row],[Amount_Paid]]</f>
        <v>27600</v>
      </c>
      <c r="I523">
        <v>0</v>
      </c>
      <c r="J523">
        <v>27600</v>
      </c>
      <c r="K523">
        <v>27600</v>
      </c>
      <c r="L523" t="s">
        <v>4799</v>
      </c>
      <c r="M523" t="s">
        <v>5834</v>
      </c>
    </row>
    <row r="524" spans="1:13" x14ac:dyDescent="0.3">
      <c r="A524" t="s">
        <v>5835</v>
      </c>
      <c r="B524" t="s">
        <v>1151</v>
      </c>
      <c r="C524" t="s">
        <v>984</v>
      </c>
      <c r="D524" s="1">
        <v>46064</v>
      </c>
      <c r="E524" t="s">
        <v>12</v>
      </c>
      <c r="F524" t="s">
        <v>6181</v>
      </c>
      <c r="G52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24">
        <f>Payment_Dataset[[#This Row],[Total Amount]]-Payment_Dataset[[#This Row],[Amount_Paid]]</f>
        <v>23500</v>
      </c>
      <c r="I524">
        <v>0</v>
      </c>
      <c r="J524">
        <v>23500</v>
      </c>
      <c r="K524">
        <v>23500</v>
      </c>
      <c r="L524" t="s">
        <v>4793</v>
      </c>
      <c r="M524" t="s">
        <v>5836</v>
      </c>
    </row>
    <row r="525" spans="1:13" x14ac:dyDescent="0.3">
      <c r="A525" t="s">
        <v>5837</v>
      </c>
      <c r="B525" t="s">
        <v>1153</v>
      </c>
      <c r="C525" t="s">
        <v>3031</v>
      </c>
      <c r="D525" s="1">
        <v>46180</v>
      </c>
      <c r="E525" t="s">
        <v>12</v>
      </c>
      <c r="F525" t="s">
        <v>6181</v>
      </c>
      <c r="G52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25">
        <f>Payment_Dataset[[#This Row],[Total Amount]]-Payment_Dataset[[#This Row],[Amount_Paid]]</f>
        <v>35000</v>
      </c>
      <c r="I525">
        <v>0</v>
      </c>
      <c r="J525">
        <v>35000</v>
      </c>
      <c r="K525">
        <v>35000</v>
      </c>
      <c r="L525" t="s">
        <v>4793</v>
      </c>
      <c r="M525" t="s">
        <v>5838</v>
      </c>
    </row>
    <row r="526" spans="1:13" x14ac:dyDescent="0.3">
      <c r="A526" t="s">
        <v>5839</v>
      </c>
      <c r="B526" t="s">
        <v>1155</v>
      </c>
      <c r="C526" t="s">
        <v>606</v>
      </c>
      <c r="D526" s="1">
        <v>46123</v>
      </c>
      <c r="E526" t="s">
        <v>12</v>
      </c>
      <c r="F526" t="s">
        <v>6181</v>
      </c>
      <c r="G52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26">
        <f>Payment_Dataset[[#This Row],[Total Amount]]-Payment_Dataset[[#This Row],[Amount_Paid]]</f>
        <v>12000</v>
      </c>
      <c r="I526">
        <v>0</v>
      </c>
      <c r="J526">
        <v>12000</v>
      </c>
      <c r="K526">
        <v>12000</v>
      </c>
      <c r="L526" t="s">
        <v>4787</v>
      </c>
      <c r="M526" t="s">
        <v>5840</v>
      </c>
    </row>
    <row r="527" spans="1:13" x14ac:dyDescent="0.3">
      <c r="A527" t="s">
        <v>5841</v>
      </c>
      <c r="B527" t="s">
        <v>1157</v>
      </c>
      <c r="C527" t="s">
        <v>2700</v>
      </c>
      <c r="D527" s="1">
        <v>46113</v>
      </c>
      <c r="E527" t="s">
        <v>49</v>
      </c>
      <c r="F527" t="s">
        <v>6182</v>
      </c>
      <c r="G52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9100</v>
      </c>
      <c r="H527">
        <f>Payment_Dataset[[#This Row],[Total Amount]]-Payment_Dataset[[#This Row],[Amount_Paid]]</f>
        <v>16900</v>
      </c>
      <c r="I527">
        <v>9100</v>
      </c>
      <c r="J527">
        <v>16900</v>
      </c>
      <c r="K527">
        <v>26000</v>
      </c>
      <c r="L527" t="s">
        <v>4799</v>
      </c>
      <c r="M527" t="s">
        <v>5842</v>
      </c>
    </row>
    <row r="528" spans="1:13" x14ac:dyDescent="0.3">
      <c r="A528" t="s">
        <v>5843</v>
      </c>
      <c r="B528" t="s">
        <v>1159</v>
      </c>
      <c r="C528" t="s">
        <v>2926</v>
      </c>
      <c r="D528" s="1">
        <v>46081</v>
      </c>
      <c r="E528" t="s">
        <v>49</v>
      </c>
      <c r="F528" t="s">
        <v>6182</v>
      </c>
      <c r="G52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8680</v>
      </c>
      <c r="H528">
        <f>Payment_Dataset[[#This Row],[Total Amount]]-Payment_Dataset[[#This Row],[Amount_Paid]]</f>
        <v>16120</v>
      </c>
      <c r="I528">
        <v>8680</v>
      </c>
      <c r="J528">
        <v>16120</v>
      </c>
      <c r="K528">
        <v>24800</v>
      </c>
      <c r="L528" t="s">
        <v>4787</v>
      </c>
      <c r="M528" t="s">
        <v>5844</v>
      </c>
    </row>
    <row r="529" spans="1:13" x14ac:dyDescent="0.3">
      <c r="A529" t="s">
        <v>5845</v>
      </c>
      <c r="B529" t="s">
        <v>1161</v>
      </c>
      <c r="C529" t="s">
        <v>174</v>
      </c>
      <c r="D529" s="1">
        <v>46067</v>
      </c>
      <c r="E529" t="s">
        <v>12</v>
      </c>
      <c r="F529" t="s">
        <v>6181</v>
      </c>
      <c r="G52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29">
        <f>Payment_Dataset[[#This Row],[Total Amount]]-Payment_Dataset[[#This Row],[Amount_Paid]]</f>
        <v>4200</v>
      </c>
      <c r="I529">
        <v>0</v>
      </c>
      <c r="J529">
        <v>4200</v>
      </c>
      <c r="K529">
        <v>4200</v>
      </c>
      <c r="L529" t="s">
        <v>4787</v>
      </c>
      <c r="M529" t="s">
        <v>5846</v>
      </c>
    </row>
    <row r="530" spans="1:13" x14ac:dyDescent="0.3">
      <c r="A530" t="s">
        <v>5847</v>
      </c>
      <c r="B530" t="s">
        <v>1163</v>
      </c>
      <c r="C530" t="s">
        <v>2149</v>
      </c>
      <c r="D530" s="1">
        <v>46129</v>
      </c>
      <c r="E530" t="s">
        <v>12</v>
      </c>
      <c r="F530" t="s">
        <v>6181</v>
      </c>
      <c r="G53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30">
        <f>Payment_Dataset[[#This Row],[Total Amount]]-Payment_Dataset[[#This Row],[Amount_Paid]]</f>
        <v>25000</v>
      </c>
      <c r="I530">
        <v>0</v>
      </c>
      <c r="J530">
        <v>25000</v>
      </c>
      <c r="K530">
        <v>25000</v>
      </c>
      <c r="L530" t="s">
        <v>4790</v>
      </c>
      <c r="M530" t="s">
        <v>5848</v>
      </c>
    </row>
    <row r="531" spans="1:13" x14ac:dyDescent="0.3">
      <c r="A531" t="s">
        <v>5849</v>
      </c>
      <c r="B531" t="s">
        <v>1165</v>
      </c>
      <c r="C531" t="s">
        <v>72</v>
      </c>
      <c r="D531" s="1">
        <v>46126</v>
      </c>
      <c r="E531" t="s">
        <v>12</v>
      </c>
      <c r="F531" t="s">
        <v>6181</v>
      </c>
      <c r="G53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31">
        <f>Payment_Dataset[[#This Row],[Total Amount]]-Payment_Dataset[[#This Row],[Amount_Paid]]</f>
        <v>19200</v>
      </c>
      <c r="I531">
        <v>0</v>
      </c>
      <c r="J531">
        <v>19200</v>
      </c>
      <c r="K531">
        <v>19200</v>
      </c>
      <c r="L531" t="s">
        <v>4793</v>
      </c>
      <c r="M531" t="s">
        <v>5850</v>
      </c>
    </row>
    <row r="532" spans="1:13" x14ac:dyDescent="0.3">
      <c r="A532" t="s">
        <v>5851</v>
      </c>
      <c r="B532" t="s">
        <v>1167</v>
      </c>
      <c r="C532" t="s">
        <v>574</v>
      </c>
      <c r="D532" s="1">
        <v>46044</v>
      </c>
      <c r="E532" t="s">
        <v>12</v>
      </c>
      <c r="F532" t="s">
        <v>6181</v>
      </c>
      <c r="G53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32">
        <f>Payment_Dataset[[#This Row],[Total Amount]]-Payment_Dataset[[#This Row],[Amount_Paid]]</f>
        <v>14000</v>
      </c>
      <c r="I532">
        <v>0</v>
      </c>
      <c r="J532">
        <v>14000</v>
      </c>
      <c r="K532">
        <v>14000</v>
      </c>
      <c r="L532" t="s">
        <v>4799</v>
      </c>
      <c r="M532" t="s">
        <v>5852</v>
      </c>
    </row>
    <row r="533" spans="1:13" x14ac:dyDescent="0.3">
      <c r="A533" t="s">
        <v>5853</v>
      </c>
      <c r="B533" t="s">
        <v>1169</v>
      </c>
      <c r="C533" t="s">
        <v>1375</v>
      </c>
      <c r="D533" s="1">
        <v>46042</v>
      </c>
      <c r="E533" t="s">
        <v>38</v>
      </c>
      <c r="F533" t="s">
        <v>6180</v>
      </c>
      <c r="G53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49000</v>
      </c>
      <c r="H533">
        <f>Payment_Dataset[[#This Row],[Total Amount]]-Payment_Dataset[[#This Row],[Amount_Paid]]</f>
        <v>0</v>
      </c>
      <c r="I533">
        <v>49000</v>
      </c>
      <c r="J533">
        <v>0</v>
      </c>
      <c r="K533">
        <v>49000</v>
      </c>
      <c r="L533" t="s">
        <v>4796</v>
      </c>
      <c r="M533" t="s">
        <v>5854</v>
      </c>
    </row>
    <row r="534" spans="1:13" x14ac:dyDescent="0.3">
      <c r="A534" t="s">
        <v>5855</v>
      </c>
      <c r="B534" t="s">
        <v>1171</v>
      </c>
      <c r="C534" t="s">
        <v>825</v>
      </c>
      <c r="D534" s="1">
        <v>46066</v>
      </c>
      <c r="E534" t="s">
        <v>12</v>
      </c>
      <c r="F534" t="s">
        <v>6181</v>
      </c>
      <c r="G53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34">
        <f>Payment_Dataset[[#This Row],[Total Amount]]-Payment_Dataset[[#This Row],[Amount_Paid]]</f>
        <v>7200</v>
      </c>
      <c r="I534">
        <v>0</v>
      </c>
      <c r="J534">
        <v>7200</v>
      </c>
      <c r="K534">
        <v>7200</v>
      </c>
      <c r="L534" t="s">
        <v>4796</v>
      </c>
      <c r="M534" t="s">
        <v>5856</v>
      </c>
    </row>
    <row r="535" spans="1:13" x14ac:dyDescent="0.3">
      <c r="A535" t="s">
        <v>5857</v>
      </c>
      <c r="B535" t="s">
        <v>1173</v>
      </c>
      <c r="C535" t="s">
        <v>1040</v>
      </c>
      <c r="D535" s="1">
        <v>46199</v>
      </c>
      <c r="E535" t="s">
        <v>12</v>
      </c>
      <c r="F535" t="s">
        <v>6181</v>
      </c>
      <c r="G53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35">
        <f>Payment_Dataset[[#This Row],[Total Amount]]-Payment_Dataset[[#This Row],[Amount_Paid]]</f>
        <v>10400</v>
      </c>
      <c r="I535">
        <v>0</v>
      </c>
      <c r="J535">
        <v>10400</v>
      </c>
      <c r="K535">
        <v>10400</v>
      </c>
      <c r="L535" t="s">
        <v>4796</v>
      </c>
      <c r="M535" t="s">
        <v>5858</v>
      </c>
    </row>
    <row r="536" spans="1:13" x14ac:dyDescent="0.3">
      <c r="A536" t="s">
        <v>5859</v>
      </c>
      <c r="B536" t="s">
        <v>1175</v>
      </c>
      <c r="C536" t="s">
        <v>895</v>
      </c>
      <c r="D536" s="1">
        <v>46186</v>
      </c>
      <c r="E536" t="s">
        <v>12</v>
      </c>
      <c r="F536" t="s">
        <v>6181</v>
      </c>
      <c r="G53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36">
        <f>Payment_Dataset[[#This Row],[Total Amount]]-Payment_Dataset[[#This Row],[Amount_Paid]]</f>
        <v>30800</v>
      </c>
      <c r="I536">
        <v>0</v>
      </c>
      <c r="J536">
        <v>30800</v>
      </c>
      <c r="K536">
        <v>30800</v>
      </c>
      <c r="L536" t="s">
        <v>4796</v>
      </c>
      <c r="M536" t="s">
        <v>5860</v>
      </c>
    </row>
    <row r="537" spans="1:13" x14ac:dyDescent="0.3">
      <c r="A537" t="s">
        <v>5861</v>
      </c>
      <c r="B537" t="s">
        <v>1177</v>
      </c>
      <c r="C537" t="s">
        <v>1767</v>
      </c>
      <c r="D537" s="1">
        <v>46041</v>
      </c>
      <c r="E537" t="s">
        <v>38</v>
      </c>
      <c r="F537" t="s">
        <v>6180</v>
      </c>
      <c r="G53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38500</v>
      </c>
      <c r="H537">
        <f>Payment_Dataset[[#This Row],[Total Amount]]-Payment_Dataset[[#This Row],[Amount_Paid]]</f>
        <v>0</v>
      </c>
      <c r="I537">
        <v>38500</v>
      </c>
      <c r="J537">
        <v>0</v>
      </c>
      <c r="K537">
        <v>38500</v>
      </c>
      <c r="L537" t="s">
        <v>4787</v>
      </c>
      <c r="M537" t="s">
        <v>5862</v>
      </c>
    </row>
    <row r="538" spans="1:13" x14ac:dyDescent="0.3">
      <c r="A538" t="s">
        <v>5863</v>
      </c>
      <c r="B538" t="s">
        <v>1179</v>
      </c>
      <c r="C538" t="s">
        <v>1284</v>
      </c>
      <c r="D538" s="1">
        <v>46173</v>
      </c>
      <c r="E538" t="s">
        <v>12</v>
      </c>
      <c r="F538" t="s">
        <v>6181</v>
      </c>
      <c r="G53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38">
        <f>Payment_Dataset[[#This Row],[Total Amount]]-Payment_Dataset[[#This Row],[Amount_Paid]]</f>
        <v>49800</v>
      </c>
      <c r="I538">
        <v>0</v>
      </c>
      <c r="J538">
        <v>49800</v>
      </c>
      <c r="K538">
        <v>49800</v>
      </c>
      <c r="L538" t="s">
        <v>4790</v>
      </c>
      <c r="M538" t="s">
        <v>5864</v>
      </c>
    </row>
    <row r="539" spans="1:13" x14ac:dyDescent="0.3">
      <c r="A539" t="s">
        <v>5865</v>
      </c>
      <c r="B539" t="s">
        <v>1181</v>
      </c>
      <c r="C539" t="s">
        <v>3366</v>
      </c>
      <c r="D539" s="1">
        <v>46091</v>
      </c>
      <c r="E539" t="s">
        <v>12</v>
      </c>
      <c r="F539" t="s">
        <v>6181</v>
      </c>
      <c r="G53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39">
        <f>Payment_Dataset[[#This Row],[Total Amount]]-Payment_Dataset[[#This Row],[Amount_Paid]]</f>
        <v>28000</v>
      </c>
      <c r="I539">
        <v>0</v>
      </c>
      <c r="J539">
        <v>28000</v>
      </c>
      <c r="K539">
        <v>28000</v>
      </c>
      <c r="L539" t="s">
        <v>4793</v>
      </c>
      <c r="M539" t="s">
        <v>5866</v>
      </c>
    </row>
    <row r="540" spans="1:13" x14ac:dyDescent="0.3">
      <c r="A540" t="s">
        <v>5867</v>
      </c>
      <c r="B540" t="s">
        <v>1183</v>
      </c>
      <c r="C540" t="s">
        <v>3978</v>
      </c>
      <c r="D540" s="1">
        <v>46169</v>
      </c>
      <c r="E540" t="s">
        <v>12</v>
      </c>
      <c r="F540" t="s">
        <v>6181</v>
      </c>
      <c r="G54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40">
        <f>Payment_Dataset[[#This Row],[Total Amount]]-Payment_Dataset[[#This Row],[Amount_Paid]]</f>
        <v>7800</v>
      </c>
      <c r="I540">
        <v>0</v>
      </c>
      <c r="J540">
        <v>7800</v>
      </c>
      <c r="K540">
        <v>7800</v>
      </c>
      <c r="L540" t="s">
        <v>4799</v>
      </c>
      <c r="M540" t="s">
        <v>5868</v>
      </c>
    </row>
    <row r="541" spans="1:13" x14ac:dyDescent="0.3">
      <c r="A541" t="s">
        <v>5869</v>
      </c>
      <c r="B541" t="s">
        <v>1185</v>
      </c>
      <c r="C541" t="s">
        <v>1048</v>
      </c>
      <c r="D541" s="1">
        <v>46192</v>
      </c>
      <c r="E541" t="s">
        <v>12</v>
      </c>
      <c r="F541" t="s">
        <v>6181</v>
      </c>
      <c r="G54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41">
        <f>Payment_Dataset[[#This Row],[Total Amount]]-Payment_Dataset[[#This Row],[Amount_Paid]]</f>
        <v>49000</v>
      </c>
      <c r="I541">
        <v>0</v>
      </c>
      <c r="J541">
        <v>49000</v>
      </c>
      <c r="K541">
        <v>49000</v>
      </c>
      <c r="L541" t="s">
        <v>4799</v>
      </c>
      <c r="M541" t="s">
        <v>5870</v>
      </c>
    </row>
    <row r="542" spans="1:13" x14ac:dyDescent="0.3">
      <c r="A542" t="s">
        <v>5871</v>
      </c>
      <c r="B542" t="s">
        <v>1187</v>
      </c>
      <c r="C542" t="s">
        <v>2394</v>
      </c>
      <c r="D542" s="1">
        <v>46203</v>
      </c>
      <c r="E542" t="s">
        <v>38</v>
      </c>
      <c r="F542" t="s">
        <v>6180</v>
      </c>
      <c r="G54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7000</v>
      </c>
      <c r="H542">
        <f>Payment_Dataset[[#This Row],[Total Amount]]-Payment_Dataset[[#This Row],[Amount_Paid]]</f>
        <v>0</v>
      </c>
      <c r="I542">
        <v>7000</v>
      </c>
      <c r="J542">
        <v>0</v>
      </c>
      <c r="K542">
        <v>7000</v>
      </c>
      <c r="L542" t="s">
        <v>4787</v>
      </c>
      <c r="M542" t="s">
        <v>5872</v>
      </c>
    </row>
    <row r="543" spans="1:13" x14ac:dyDescent="0.3">
      <c r="A543" t="s">
        <v>5873</v>
      </c>
      <c r="B543" t="s">
        <v>1189</v>
      </c>
      <c r="C543" t="s">
        <v>3098</v>
      </c>
      <c r="D543" s="1">
        <v>46118</v>
      </c>
      <c r="E543" t="s">
        <v>12</v>
      </c>
      <c r="F543" t="s">
        <v>6181</v>
      </c>
      <c r="G54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43">
        <f>Payment_Dataset[[#This Row],[Total Amount]]-Payment_Dataset[[#This Row],[Amount_Paid]]</f>
        <v>54600</v>
      </c>
      <c r="I543">
        <v>0</v>
      </c>
      <c r="J543">
        <v>54600</v>
      </c>
      <c r="K543">
        <v>54600</v>
      </c>
      <c r="L543" t="s">
        <v>4799</v>
      </c>
      <c r="M543" t="s">
        <v>5874</v>
      </c>
    </row>
    <row r="544" spans="1:13" x14ac:dyDescent="0.3">
      <c r="A544" t="s">
        <v>5875</v>
      </c>
      <c r="B544" t="s">
        <v>1191</v>
      </c>
      <c r="C544" t="s">
        <v>312</v>
      </c>
      <c r="D544" s="1">
        <v>46158</v>
      </c>
      <c r="E544" t="s">
        <v>76</v>
      </c>
      <c r="F544" t="s">
        <v>6183</v>
      </c>
      <c r="G54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44">
        <f>Payment_Dataset[[#This Row],[Total Amount]]-Payment_Dataset[[#This Row],[Amount_Paid]]</f>
        <v>0</v>
      </c>
      <c r="I544">
        <v>0</v>
      </c>
      <c r="J544">
        <v>0</v>
      </c>
      <c r="K544">
        <v>0</v>
      </c>
      <c r="L544" t="s">
        <v>6178</v>
      </c>
      <c r="M544" t="s">
        <v>5876</v>
      </c>
    </row>
    <row r="545" spans="1:13" x14ac:dyDescent="0.3">
      <c r="A545" t="s">
        <v>5877</v>
      </c>
      <c r="B545" t="s">
        <v>1193</v>
      </c>
      <c r="C545" t="s">
        <v>3974</v>
      </c>
      <c r="D545" s="1">
        <v>46200</v>
      </c>
      <c r="E545" t="s">
        <v>12</v>
      </c>
      <c r="F545" t="s">
        <v>6181</v>
      </c>
      <c r="G54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45">
        <f>Payment_Dataset[[#This Row],[Total Amount]]-Payment_Dataset[[#This Row],[Amount_Paid]]</f>
        <v>52500</v>
      </c>
      <c r="I545">
        <v>0</v>
      </c>
      <c r="J545">
        <v>52500</v>
      </c>
      <c r="K545">
        <v>52500</v>
      </c>
      <c r="L545" t="s">
        <v>4799</v>
      </c>
      <c r="M545" t="s">
        <v>5878</v>
      </c>
    </row>
    <row r="546" spans="1:13" x14ac:dyDescent="0.3">
      <c r="A546" t="s">
        <v>5879</v>
      </c>
      <c r="B546" t="s">
        <v>1195</v>
      </c>
      <c r="C546" t="s">
        <v>1168</v>
      </c>
      <c r="D546" s="1">
        <v>46129</v>
      </c>
      <c r="E546" t="s">
        <v>12</v>
      </c>
      <c r="F546" t="s">
        <v>6181</v>
      </c>
      <c r="G54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46">
        <f>Payment_Dataset[[#This Row],[Total Amount]]-Payment_Dataset[[#This Row],[Amount_Paid]]</f>
        <v>20000</v>
      </c>
      <c r="I546">
        <v>0</v>
      </c>
      <c r="J546">
        <v>20000</v>
      </c>
      <c r="K546">
        <v>20000</v>
      </c>
      <c r="L546" t="s">
        <v>4790</v>
      </c>
      <c r="M546" t="s">
        <v>5880</v>
      </c>
    </row>
    <row r="547" spans="1:13" x14ac:dyDescent="0.3">
      <c r="A547" t="s">
        <v>5881</v>
      </c>
      <c r="B547" t="s">
        <v>1197</v>
      </c>
      <c r="C547" t="s">
        <v>1276</v>
      </c>
      <c r="D547" s="1">
        <v>46184</v>
      </c>
      <c r="E547" t="s">
        <v>49</v>
      </c>
      <c r="F547" t="s">
        <v>6182</v>
      </c>
      <c r="G54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8225</v>
      </c>
      <c r="H547">
        <f>Payment_Dataset[[#This Row],[Total Amount]]-Payment_Dataset[[#This Row],[Amount_Paid]]</f>
        <v>15275</v>
      </c>
      <c r="I547">
        <v>8225</v>
      </c>
      <c r="J547">
        <v>15275</v>
      </c>
      <c r="K547">
        <v>23500</v>
      </c>
      <c r="L547" t="s">
        <v>4787</v>
      </c>
      <c r="M547" t="s">
        <v>5882</v>
      </c>
    </row>
    <row r="548" spans="1:13" x14ac:dyDescent="0.3">
      <c r="A548" t="s">
        <v>5883</v>
      </c>
      <c r="B548" t="s">
        <v>1199</v>
      </c>
      <c r="C548" t="s">
        <v>1887</v>
      </c>
      <c r="D548" s="1">
        <v>46205</v>
      </c>
      <c r="E548" t="s">
        <v>12</v>
      </c>
      <c r="F548" t="s">
        <v>6181</v>
      </c>
      <c r="G54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48">
        <f>Payment_Dataset[[#This Row],[Total Amount]]-Payment_Dataset[[#This Row],[Amount_Paid]]</f>
        <v>17200</v>
      </c>
      <c r="I548">
        <v>0</v>
      </c>
      <c r="J548">
        <v>17200</v>
      </c>
      <c r="K548">
        <v>17200</v>
      </c>
      <c r="L548" t="s">
        <v>4793</v>
      </c>
      <c r="M548" t="s">
        <v>5884</v>
      </c>
    </row>
    <row r="549" spans="1:13" x14ac:dyDescent="0.3">
      <c r="A549" t="s">
        <v>5885</v>
      </c>
      <c r="B549" t="s">
        <v>1201</v>
      </c>
      <c r="C549" t="s">
        <v>1234</v>
      </c>
      <c r="D549" s="1">
        <v>46160</v>
      </c>
      <c r="E549" t="s">
        <v>12</v>
      </c>
      <c r="F549" t="s">
        <v>6181</v>
      </c>
      <c r="G54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49">
        <f>Payment_Dataset[[#This Row],[Total Amount]]-Payment_Dataset[[#This Row],[Amount_Paid]]</f>
        <v>13400</v>
      </c>
      <c r="I549">
        <v>0</v>
      </c>
      <c r="J549">
        <v>13400</v>
      </c>
      <c r="K549">
        <v>13400</v>
      </c>
      <c r="L549" t="s">
        <v>4790</v>
      </c>
      <c r="M549" t="s">
        <v>5886</v>
      </c>
    </row>
    <row r="550" spans="1:13" x14ac:dyDescent="0.3">
      <c r="A550" t="s">
        <v>5887</v>
      </c>
      <c r="B550" t="s">
        <v>1203</v>
      </c>
      <c r="C550" t="s">
        <v>3484</v>
      </c>
      <c r="D550" s="1">
        <v>46198</v>
      </c>
      <c r="E550" t="s">
        <v>38</v>
      </c>
      <c r="F550" t="s">
        <v>6180</v>
      </c>
      <c r="G55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6200</v>
      </c>
      <c r="H550">
        <f>Payment_Dataset[[#This Row],[Total Amount]]-Payment_Dataset[[#This Row],[Amount_Paid]]</f>
        <v>0</v>
      </c>
      <c r="I550">
        <v>6200</v>
      </c>
      <c r="J550">
        <v>0</v>
      </c>
      <c r="K550">
        <v>6200</v>
      </c>
      <c r="L550" t="s">
        <v>4796</v>
      </c>
      <c r="M550" t="s">
        <v>5888</v>
      </c>
    </row>
    <row r="551" spans="1:13" x14ac:dyDescent="0.3">
      <c r="A551" t="s">
        <v>5889</v>
      </c>
      <c r="B551" t="s">
        <v>1205</v>
      </c>
      <c r="C551" t="s">
        <v>3343</v>
      </c>
      <c r="D551" s="1">
        <v>46072</v>
      </c>
      <c r="E551" t="s">
        <v>38</v>
      </c>
      <c r="F551" t="s">
        <v>6180</v>
      </c>
      <c r="G55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24800</v>
      </c>
      <c r="H551">
        <f>Payment_Dataset[[#This Row],[Total Amount]]-Payment_Dataset[[#This Row],[Amount_Paid]]</f>
        <v>0</v>
      </c>
      <c r="I551">
        <v>24800</v>
      </c>
      <c r="J551">
        <v>0</v>
      </c>
      <c r="K551">
        <v>24800</v>
      </c>
      <c r="L551" t="s">
        <v>4787</v>
      </c>
      <c r="M551" t="s">
        <v>5890</v>
      </c>
    </row>
    <row r="552" spans="1:13" x14ac:dyDescent="0.3">
      <c r="A552" t="s">
        <v>5891</v>
      </c>
      <c r="B552" t="s">
        <v>1207</v>
      </c>
      <c r="C552" t="s">
        <v>2856</v>
      </c>
      <c r="D552" s="1">
        <v>46196</v>
      </c>
      <c r="E552" t="s">
        <v>38</v>
      </c>
      <c r="F552" t="s">
        <v>6180</v>
      </c>
      <c r="G55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4300</v>
      </c>
      <c r="H552">
        <f>Payment_Dataset[[#This Row],[Total Amount]]-Payment_Dataset[[#This Row],[Amount_Paid]]</f>
        <v>0</v>
      </c>
      <c r="I552">
        <v>4300</v>
      </c>
      <c r="J552">
        <v>0</v>
      </c>
      <c r="K552">
        <v>4300</v>
      </c>
      <c r="L552" t="s">
        <v>4799</v>
      </c>
      <c r="M552" t="s">
        <v>5892</v>
      </c>
    </row>
    <row r="553" spans="1:13" x14ac:dyDescent="0.3">
      <c r="A553" t="s">
        <v>5893</v>
      </c>
      <c r="B553" t="s">
        <v>1209</v>
      </c>
      <c r="C553" t="s">
        <v>3229</v>
      </c>
      <c r="D553" s="1">
        <v>46144</v>
      </c>
      <c r="E553" t="s">
        <v>12</v>
      </c>
      <c r="F553" t="s">
        <v>6181</v>
      </c>
      <c r="G55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53">
        <f>Payment_Dataset[[#This Row],[Total Amount]]-Payment_Dataset[[#This Row],[Amount_Paid]]</f>
        <v>18600</v>
      </c>
      <c r="I553">
        <v>0</v>
      </c>
      <c r="J553">
        <v>18600</v>
      </c>
      <c r="K553">
        <v>18600</v>
      </c>
      <c r="L553" t="s">
        <v>4787</v>
      </c>
      <c r="M553" t="s">
        <v>5894</v>
      </c>
    </row>
    <row r="554" spans="1:13" x14ac:dyDescent="0.3">
      <c r="A554" t="s">
        <v>5895</v>
      </c>
      <c r="B554" t="s">
        <v>1211</v>
      </c>
      <c r="C554" t="s">
        <v>4410</v>
      </c>
      <c r="D554" s="1">
        <v>46103</v>
      </c>
      <c r="E554" t="s">
        <v>38</v>
      </c>
      <c r="F554" t="s">
        <v>6180</v>
      </c>
      <c r="G55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16000</v>
      </c>
      <c r="H554">
        <f>Payment_Dataset[[#This Row],[Total Amount]]-Payment_Dataset[[#This Row],[Amount_Paid]]</f>
        <v>0</v>
      </c>
      <c r="I554">
        <v>16000</v>
      </c>
      <c r="J554">
        <v>0</v>
      </c>
      <c r="K554">
        <v>16000</v>
      </c>
      <c r="L554" t="s">
        <v>4799</v>
      </c>
      <c r="M554" t="s">
        <v>5896</v>
      </c>
    </row>
    <row r="555" spans="1:13" x14ac:dyDescent="0.3">
      <c r="A555" t="s">
        <v>5897</v>
      </c>
      <c r="B555" t="s">
        <v>1213</v>
      </c>
      <c r="C555" t="s">
        <v>2245</v>
      </c>
      <c r="D555" s="1">
        <v>46167</v>
      </c>
      <c r="E555" t="s">
        <v>38</v>
      </c>
      <c r="F555" t="s">
        <v>6180</v>
      </c>
      <c r="G55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32900</v>
      </c>
      <c r="H555">
        <f>Payment_Dataset[[#This Row],[Total Amount]]-Payment_Dataset[[#This Row],[Amount_Paid]]</f>
        <v>0</v>
      </c>
      <c r="I555">
        <v>32900</v>
      </c>
      <c r="J555">
        <v>0</v>
      </c>
      <c r="K555">
        <v>32900</v>
      </c>
      <c r="L555" t="s">
        <v>4796</v>
      </c>
      <c r="M555" t="s">
        <v>5898</v>
      </c>
    </row>
    <row r="556" spans="1:13" x14ac:dyDescent="0.3">
      <c r="A556" t="s">
        <v>5899</v>
      </c>
      <c r="B556" t="s">
        <v>1215</v>
      </c>
      <c r="C556" t="s">
        <v>737</v>
      </c>
      <c r="D556" s="1">
        <v>46157</v>
      </c>
      <c r="E556" t="s">
        <v>49</v>
      </c>
      <c r="F556" t="s">
        <v>6182</v>
      </c>
      <c r="G55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5880</v>
      </c>
      <c r="H556">
        <f>Payment_Dataset[[#This Row],[Total Amount]]-Payment_Dataset[[#This Row],[Amount_Paid]]</f>
        <v>10920</v>
      </c>
      <c r="I556">
        <v>5880</v>
      </c>
      <c r="J556">
        <v>10920</v>
      </c>
      <c r="K556">
        <v>16800</v>
      </c>
      <c r="L556" t="s">
        <v>4796</v>
      </c>
      <c r="M556" t="s">
        <v>5900</v>
      </c>
    </row>
    <row r="557" spans="1:13" x14ac:dyDescent="0.3">
      <c r="A557" t="s">
        <v>5901</v>
      </c>
      <c r="B557" t="s">
        <v>1217</v>
      </c>
      <c r="C557" t="s">
        <v>4030</v>
      </c>
      <c r="D557" s="1">
        <v>46078</v>
      </c>
      <c r="E557" t="s">
        <v>38</v>
      </c>
      <c r="F557" t="s">
        <v>6180</v>
      </c>
      <c r="G55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9400</v>
      </c>
      <c r="H557">
        <f>Payment_Dataset[[#This Row],[Total Amount]]-Payment_Dataset[[#This Row],[Amount_Paid]]</f>
        <v>0</v>
      </c>
      <c r="I557">
        <v>9400</v>
      </c>
      <c r="J557">
        <v>0</v>
      </c>
      <c r="K557">
        <v>9400</v>
      </c>
      <c r="L557" t="s">
        <v>4799</v>
      </c>
      <c r="M557" t="s">
        <v>5902</v>
      </c>
    </row>
    <row r="558" spans="1:13" x14ac:dyDescent="0.3">
      <c r="A558" t="s">
        <v>5903</v>
      </c>
      <c r="B558" t="s">
        <v>1219</v>
      </c>
      <c r="C558" t="s">
        <v>91</v>
      </c>
      <c r="D558" s="1">
        <v>46174</v>
      </c>
      <c r="E558" t="s">
        <v>12</v>
      </c>
      <c r="F558" t="s">
        <v>6181</v>
      </c>
      <c r="G55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58">
        <f>Payment_Dataset[[#This Row],[Total Amount]]-Payment_Dataset[[#This Row],[Amount_Paid]]</f>
        <v>31200</v>
      </c>
      <c r="I558">
        <v>0</v>
      </c>
      <c r="J558">
        <v>31200</v>
      </c>
      <c r="K558">
        <v>31200</v>
      </c>
      <c r="L558" t="s">
        <v>4793</v>
      </c>
      <c r="M558" t="s">
        <v>5904</v>
      </c>
    </row>
    <row r="559" spans="1:13" x14ac:dyDescent="0.3">
      <c r="A559" t="s">
        <v>5905</v>
      </c>
      <c r="B559" t="s">
        <v>1221</v>
      </c>
      <c r="C559" t="s">
        <v>1288</v>
      </c>
      <c r="D559" s="1">
        <v>46151</v>
      </c>
      <c r="E559" t="s">
        <v>12</v>
      </c>
      <c r="F559" t="s">
        <v>6181</v>
      </c>
      <c r="G55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59">
        <f>Payment_Dataset[[#This Row],[Total Amount]]-Payment_Dataset[[#This Row],[Amount_Paid]]</f>
        <v>18800</v>
      </c>
      <c r="I559">
        <v>0</v>
      </c>
      <c r="J559">
        <v>18800</v>
      </c>
      <c r="K559">
        <v>18800</v>
      </c>
      <c r="L559" t="s">
        <v>4790</v>
      </c>
      <c r="M559" t="s">
        <v>5906</v>
      </c>
    </row>
    <row r="560" spans="1:13" x14ac:dyDescent="0.3">
      <c r="A560" t="s">
        <v>5907</v>
      </c>
      <c r="B560" t="s">
        <v>1223</v>
      </c>
      <c r="C560" t="s">
        <v>2630</v>
      </c>
      <c r="D560" s="1">
        <v>46043</v>
      </c>
      <c r="E560" t="s">
        <v>12</v>
      </c>
      <c r="F560" t="s">
        <v>6181</v>
      </c>
      <c r="G56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60">
        <f>Payment_Dataset[[#This Row],[Total Amount]]-Payment_Dataset[[#This Row],[Amount_Paid]]</f>
        <v>43200</v>
      </c>
      <c r="I560">
        <v>0</v>
      </c>
      <c r="J560">
        <v>43200</v>
      </c>
      <c r="K560">
        <v>43200</v>
      </c>
      <c r="L560" t="s">
        <v>4787</v>
      </c>
      <c r="M560" t="s">
        <v>5908</v>
      </c>
    </row>
    <row r="561" spans="1:13" x14ac:dyDescent="0.3">
      <c r="A561" t="s">
        <v>5909</v>
      </c>
      <c r="B561" t="s">
        <v>1225</v>
      </c>
      <c r="C561" t="s">
        <v>1995</v>
      </c>
      <c r="D561" s="1">
        <v>46107</v>
      </c>
      <c r="E561" t="s">
        <v>12</v>
      </c>
      <c r="F561" t="s">
        <v>6181</v>
      </c>
      <c r="G56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61">
        <f>Payment_Dataset[[#This Row],[Total Amount]]-Payment_Dataset[[#This Row],[Amount_Paid]]</f>
        <v>25200</v>
      </c>
      <c r="I561">
        <v>0</v>
      </c>
      <c r="J561">
        <v>25200</v>
      </c>
      <c r="K561">
        <v>25200</v>
      </c>
      <c r="L561" t="s">
        <v>4787</v>
      </c>
      <c r="M561" t="s">
        <v>5910</v>
      </c>
    </row>
    <row r="562" spans="1:13" x14ac:dyDescent="0.3">
      <c r="A562" t="s">
        <v>5911</v>
      </c>
      <c r="B562" t="s">
        <v>1227</v>
      </c>
      <c r="C562" t="s">
        <v>3087</v>
      </c>
      <c r="D562" s="1">
        <v>46032</v>
      </c>
      <c r="E562" t="s">
        <v>12</v>
      </c>
      <c r="F562" t="s">
        <v>6181</v>
      </c>
      <c r="G56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62">
        <f>Payment_Dataset[[#This Row],[Total Amount]]-Payment_Dataset[[#This Row],[Amount_Paid]]</f>
        <v>30000</v>
      </c>
      <c r="I562">
        <v>0</v>
      </c>
      <c r="J562">
        <v>30000</v>
      </c>
      <c r="K562">
        <v>30000</v>
      </c>
      <c r="L562" t="s">
        <v>4790</v>
      </c>
      <c r="M562" t="s">
        <v>5912</v>
      </c>
    </row>
    <row r="563" spans="1:13" x14ac:dyDescent="0.3">
      <c r="A563" t="s">
        <v>5913</v>
      </c>
      <c r="B563" t="s">
        <v>1229</v>
      </c>
      <c r="C563" t="s">
        <v>1783</v>
      </c>
      <c r="D563" s="1">
        <v>46092</v>
      </c>
      <c r="E563" t="s">
        <v>76</v>
      </c>
      <c r="F563" t="s">
        <v>6183</v>
      </c>
      <c r="G56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63">
        <f>Payment_Dataset[[#This Row],[Total Amount]]-Payment_Dataset[[#This Row],[Amount_Paid]]</f>
        <v>0</v>
      </c>
      <c r="I563">
        <v>0</v>
      </c>
      <c r="J563">
        <v>0</v>
      </c>
      <c r="K563">
        <v>0</v>
      </c>
      <c r="L563" t="s">
        <v>6178</v>
      </c>
      <c r="M563" t="s">
        <v>5914</v>
      </c>
    </row>
    <row r="564" spans="1:13" x14ac:dyDescent="0.3">
      <c r="A564" t="s">
        <v>5915</v>
      </c>
      <c r="B564" t="s">
        <v>1231</v>
      </c>
      <c r="C564" t="s">
        <v>1858</v>
      </c>
      <c r="D564" s="1">
        <v>46176</v>
      </c>
      <c r="E564" t="s">
        <v>49</v>
      </c>
      <c r="F564" t="s">
        <v>6182</v>
      </c>
      <c r="G56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7349.9999999999991</v>
      </c>
      <c r="H564">
        <f>Payment_Dataset[[#This Row],[Total Amount]]-Payment_Dataset[[#This Row],[Amount_Paid]]</f>
        <v>13650</v>
      </c>
      <c r="I564">
        <v>7350</v>
      </c>
      <c r="J564">
        <v>13650</v>
      </c>
      <c r="K564">
        <v>21000</v>
      </c>
      <c r="L564" t="s">
        <v>4793</v>
      </c>
      <c r="M564" t="s">
        <v>5916</v>
      </c>
    </row>
    <row r="565" spans="1:13" x14ac:dyDescent="0.3">
      <c r="A565" t="s">
        <v>5917</v>
      </c>
      <c r="B565" t="s">
        <v>1233</v>
      </c>
      <c r="C565" t="s">
        <v>2139</v>
      </c>
      <c r="D565" s="1">
        <v>46167</v>
      </c>
      <c r="E565" t="s">
        <v>38</v>
      </c>
      <c r="F565" t="s">
        <v>6180</v>
      </c>
      <c r="G56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48000</v>
      </c>
      <c r="H565">
        <f>Payment_Dataset[[#This Row],[Total Amount]]-Payment_Dataset[[#This Row],[Amount_Paid]]</f>
        <v>0</v>
      </c>
      <c r="I565">
        <v>48000</v>
      </c>
      <c r="J565">
        <v>0</v>
      </c>
      <c r="K565">
        <v>48000</v>
      </c>
      <c r="L565" t="s">
        <v>4796</v>
      </c>
      <c r="M565" t="s">
        <v>5918</v>
      </c>
    </row>
    <row r="566" spans="1:13" x14ac:dyDescent="0.3">
      <c r="A566" t="s">
        <v>5919</v>
      </c>
      <c r="B566" t="s">
        <v>1235</v>
      </c>
      <c r="C566" t="s">
        <v>4130</v>
      </c>
      <c r="D566" s="1">
        <v>46164</v>
      </c>
      <c r="E566" t="s">
        <v>49</v>
      </c>
      <c r="F566" t="s">
        <v>6182</v>
      </c>
      <c r="G56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13020</v>
      </c>
      <c r="H566">
        <f>Payment_Dataset[[#This Row],[Total Amount]]-Payment_Dataset[[#This Row],[Amount_Paid]]</f>
        <v>24180</v>
      </c>
      <c r="I566">
        <v>13020</v>
      </c>
      <c r="J566">
        <v>24180</v>
      </c>
      <c r="K566">
        <v>37200</v>
      </c>
      <c r="L566" t="s">
        <v>4799</v>
      </c>
      <c r="M566" t="s">
        <v>5920</v>
      </c>
    </row>
    <row r="567" spans="1:13" x14ac:dyDescent="0.3">
      <c r="A567" t="s">
        <v>5921</v>
      </c>
      <c r="B567" t="s">
        <v>1237</v>
      </c>
      <c r="C567" t="s">
        <v>2679</v>
      </c>
      <c r="D567" s="1">
        <v>46096</v>
      </c>
      <c r="E567" t="s">
        <v>38</v>
      </c>
      <c r="F567" t="s">
        <v>6180</v>
      </c>
      <c r="G56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21000</v>
      </c>
      <c r="H567">
        <f>Payment_Dataset[[#This Row],[Total Amount]]-Payment_Dataset[[#This Row],[Amount_Paid]]</f>
        <v>0</v>
      </c>
      <c r="I567">
        <v>21000</v>
      </c>
      <c r="J567">
        <v>0</v>
      </c>
      <c r="K567">
        <v>21000</v>
      </c>
      <c r="L567" t="s">
        <v>4790</v>
      </c>
      <c r="M567" t="s">
        <v>5922</v>
      </c>
    </row>
    <row r="568" spans="1:13" x14ac:dyDescent="0.3">
      <c r="A568" t="s">
        <v>5923</v>
      </c>
      <c r="B568" t="s">
        <v>1239</v>
      </c>
      <c r="C568" t="s">
        <v>662</v>
      </c>
      <c r="D568" s="1">
        <v>46176</v>
      </c>
      <c r="E568" t="s">
        <v>12</v>
      </c>
      <c r="F568" t="s">
        <v>6181</v>
      </c>
      <c r="G56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68">
        <f>Payment_Dataset[[#This Row],[Total Amount]]-Payment_Dataset[[#This Row],[Amount_Paid]]</f>
        <v>5400</v>
      </c>
      <c r="I568">
        <v>0</v>
      </c>
      <c r="J568">
        <v>5400</v>
      </c>
      <c r="K568">
        <v>5400</v>
      </c>
      <c r="L568" t="s">
        <v>4787</v>
      </c>
      <c r="M568" t="s">
        <v>5924</v>
      </c>
    </row>
    <row r="569" spans="1:13" x14ac:dyDescent="0.3">
      <c r="A569" t="s">
        <v>5925</v>
      </c>
      <c r="B569" t="s">
        <v>1241</v>
      </c>
      <c r="C569" t="s">
        <v>3583</v>
      </c>
      <c r="D569" s="1">
        <v>46091</v>
      </c>
      <c r="E569" t="s">
        <v>12</v>
      </c>
      <c r="F569" t="s">
        <v>6181</v>
      </c>
      <c r="G56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69">
        <f>Payment_Dataset[[#This Row],[Total Amount]]-Payment_Dataset[[#This Row],[Amount_Paid]]</f>
        <v>44800</v>
      </c>
      <c r="I569">
        <v>0</v>
      </c>
      <c r="J569">
        <v>44800</v>
      </c>
      <c r="K569">
        <v>44800</v>
      </c>
      <c r="L569" t="s">
        <v>4796</v>
      </c>
      <c r="M569" t="s">
        <v>5926</v>
      </c>
    </row>
    <row r="570" spans="1:13" x14ac:dyDescent="0.3">
      <c r="A570" t="s">
        <v>5927</v>
      </c>
      <c r="B570" t="s">
        <v>1243</v>
      </c>
      <c r="C570" t="s">
        <v>668</v>
      </c>
      <c r="D570" s="1">
        <v>46079</v>
      </c>
      <c r="E570" t="s">
        <v>49</v>
      </c>
      <c r="F570" t="s">
        <v>6182</v>
      </c>
      <c r="G57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2450</v>
      </c>
      <c r="H570">
        <f>Payment_Dataset[[#This Row],[Total Amount]]-Payment_Dataset[[#This Row],[Amount_Paid]]</f>
        <v>4550</v>
      </c>
      <c r="I570">
        <v>2450</v>
      </c>
      <c r="J570">
        <v>4550</v>
      </c>
      <c r="K570">
        <v>7000</v>
      </c>
      <c r="L570" t="s">
        <v>4793</v>
      </c>
      <c r="M570" t="s">
        <v>5928</v>
      </c>
    </row>
    <row r="571" spans="1:13" x14ac:dyDescent="0.3">
      <c r="A571" t="s">
        <v>5929</v>
      </c>
      <c r="B571" t="s">
        <v>1245</v>
      </c>
      <c r="C571" t="s">
        <v>3133</v>
      </c>
      <c r="D571" s="1">
        <v>46028</v>
      </c>
      <c r="E571" t="s">
        <v>12</v>
      </c>
      <c r="F571" t="s">
        <v>6181</v>
      </c>
      <c r="G57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71">
        <f>Payment_Dataset[[#This Row],[Total Amount]]-Payment_Dataset[[#This Row],[Amount_Paid]]</f>
        <v>4000</v>
      </c>
      <c r="I571">
        <v>0</v>
      </c>
      <c r="J571">
        <v>4000</v>
      </c>
      <c r="K571">
        <v>4000</v>
      </c>
      <c r="L571" t="s">
        <v>4790</v>
      </c>
      <c r="M571" t="s">
        <v>5930</v>
      </c>
    </row>
    <row r="572" spans="1:13" x14ac:dyDescent="0.3">
      <c r="A572" t="s">
        <v>5931</v>
      </c>
      <c r="B572" t="s">
        <v>1247</v>
      </c>
      <c r="C572" t="s">
        <v>2528</v>
      </c>
      <c r="D572" s="1">
        <v>46057</v>
      </c>
      <c r="E572" t="s">
        <v>12</v>
      </c>
      <c r="F572" t="s">
        <v>6181</v>
      </c>
      <c r="G57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72">
        <f>Payment_Dataset[[#This Row],[Total Amount]]-Payment_Dataset[[#This Row],[Amount_Paid]]</f>
        <v>4300</v>
      </c>
      <c r="I572">
        <v>0</v>
      </c>
      <c r="J572">
        <v>4300</v>
      </c>
      <c r="K572">
        <v>4300</v>
      </c>
      <c r="L572" t="s">
        <v>4799</v>
      </c>
      <c r="M572" t="s">
        <v>5932</v>
      </c>
    </row>
    <row r="573" spans="1:13" x14ac:dyDescent="0.3">
      <c r="A573" t="s">
        <v>5933</v>
      </c>
      <c r="B573" t="s">
        <v>1249</v>
      </c>
      <c r="C573" t="s">
        <v>2135</v>
      </c>
      <c r="D573" s="1">
        <v>46117</v>
      </c>
      <c r="E573" t="s">
        <v>12</v>
      </c>
      <c r="F573" t="s">
        <v>6181</v>
      </c>
      <c r="G57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73">
        <f>Payment_Dataset[[#This Row],[Total Amount]]-Payment_Dataset[[#This Row],[Amount_Paid]]</f>
        <v>46800</v>
      </c>
      <c r="I573">
        <v>0</v>
      </c>
      <c r="J573">
        <v>46800</v>
      </c>
      <c r="K573">
        <v>46800</v>
      </c>
      <c r="L573" t="s">
        <v>4796</v>
      </c>
      <c r="M573" t="s">
        <v>5934</v>
      </c>
    </row>
    <row r="574" spans="1:13" x14ac:dyDescent="0.3">
      <c r="A574" t="s">
        <v>5935</v>
      </c>
      <c r="B574" t="s">
        <v>1251</v>
      </c>
      <c r="C574" t="s">
        <v>980</v>
      </c>
      <c r="D574" s="1">
        <v>46029</v>
      </c>
      <c r="E574" t="s">
        <v>12</v>
      </c>
      <c r="F574" t="s">
        <v>6181</v>
      </c>
      <c r="G57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74">
        <f>Payment_Dataset[[#This Row],[Total Amount]]-Payment_Dataset[[#This Row],[Amount_Paid]]</f>
        <v>24000</v>
      </c>
      <c r="I574">
        <v>0</v>
      </c>
      <c r="J574">
        <v>24000</v>
      </c>
      <c r="K574">
        <v>24000</v>
      </c>
      <c r="L574" t="s">
        <v>4787</v>
      </c>
      <c r="M574" t="s">
        <v>5936</v>
      </c>
    </row>
    <row r="575" spans="1:13" x14ac:dyDescent="0.3">
      <c r="A575" t="s">
        <v>5937</v>
      </c>
      <c r="B575" t="s">
        <v>1253</v>
      </c>
      <c r="C575" t="s">
        <v>664</v>
      </c>
      <c r="D575" s="1">
        <v>46166</v>
      </c>
      <c r="E575" t="s">
        <v>12</v>
      </c>
      <c r="F575" t="s">
        <v>6181</v>
      </c>
      <c r="G57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75">
        <f>Payment_Dataset[[#This Row],[Total Amount]]-Payment_Dataset[[#This Row],[Amount_Paid]]</f>
        <v>39000</v>
      </c>
      <c r="I575">
        <v>0</v>
      </c>
      <c r="J575">
        <v>39000</v>
      </c>
      <c r="K575">
        <v>39000</v>
      </c>
      <c r="L575" t="s">
        <v>4787</v>
      </c>
      <c r="M575" t="s">
        <v>5938</v>
      </c>
    </row>
    <row r="576" spans="1:13" x14ac:dyDescent="0.3">
      <c r="A576" t="s">
        <v>5939</v>
      </c>
      <c r="B576" t="s">
        <v>1255</v>
      </c>
      <c r="C576" t="s">
        <v>244</v>
      </c>
      <c r="D576" s="1">
        <v>46193</v>
      </c>
      <c r="E576" t="s">
        <v>12</v>
      </c>
      <c r="F576" t="s">
        <v>6181</v>
      </c>
      <c r="G57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76">
        <f>Payment_Dataset[[#This Row],[Total Amount]]-Payment_Dataset[[#This Row],[Amount_Paid]]</f>
        <v>34500</v>
      </c>
      <c r="I576">
        <v>0</v>
      </c>
      <c r="J576">
        <v>34500</v>
      </c>
      <c r="K576">
        <v>34500</v>
      </c>
      <c r="L576" t="s">
        <v>4796</v>
      </c>
      <c r="M576" t="s">
        <v>5940</v>
      </c>
    </row>
    <row r="577" spans="1:13" x14ac:dyDescent="0.3">
      <c r="A577" t="s">
        <v>5941</v>
      </c>
      <c r="B577" t="s">
        <v>1257</v>
      </c>
      <c r="C577" t="s">
        <v>871</v>
      </c>
      <c r="D577" s="1">
        <v>46153</v>
      </c>
      <c r="E577" t="s">
        <v>12</v>
      </c>
      <c r="F577" t="s">
        <v>6181</v>
      </c>
      <c r="G57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77">
        <f>Payment_Dataset[[#This Row],[Total Amount]]-Payment_Dataset[[#This Row],[Amount_Paid]]</f>
        <v>4700</v>
      </c>
      <c r="I577">
        <v>0</v>
      </c>
      <c r="J577">
        <v>4700</v>
      </c>
      <c r="K577">
        <v>4700</v>
      </c>
      <c r="L577" t="s">
        <v>4796</v>
      </c>
      <c r="M577" t="s">
        <v>5942</v>
      </c>
    </row>
    <row r="578" spans="1:13" x14ac:dyDescent="0.3">
      <c r="A578" t="s">
        <v>5943</v>
      </c>
      <c r="B578" t="s">
        <v>1259</v>
      </c>
      <c r="C578" t="s">
        <v>591</v>
      </c>
      <c r="D578" s="1">
        <v>46154</v>
      </c>
      <c r="E578" t="s">
        <v>38</v>
      </c>
      <c r="F578" t="s">
        <v>6180</v>
      </c>
      <c r="G57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33600</v>
      </c>
      <c r="H578">
        <f>Payment_Dataset[[#This Row],[Total Amount]]-Payment_Dataset[[#This Row],[Amount_Paid]]</f>
        <v>0</v>
      </c>
      <c r="I578">
        <v>33600</v>
      </c>
      <c r="J578">
        <v>0</v>
      </c>
      <c r="K578">
        <v>33600</v>
      </c>
      <c r="L578" t="s">
        <v>4793</v>
      </c>
      <c r="M578" t="s">
        <v>5944</v>
      </c>
    </row>
    <row r="579" spans="1:13" x14ac:dyDescent="0.3">
      <c r="A579" t="s">
        <v>5945</v>
      </c>
      <c r="B579" t="s">
        <v>1261</v>
      </c>
      <c r="C579" t="s">
        <v>1098</v>
      </c>
      <c r="D579" s="1">
        <v>46091</v>
      </c>
      <c r="E579" t="s">
        <v>12</v>
      </c>
      <c r="F579" t="s">
        <v>6181</v>
      </c>
      <c r="G57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79">
        <f>Payment_Dataset[[#This Row],[Total Amount]]-Payment_Dataset[[#This Row],[Amount_Paid]]</f>
        <v>14400</v>
      </c>
      <c r="I579">
        <v>0</v>
      </c>
      <c r="J579">
        <v>14400</v>
      </c>
      <c r="K579">
        <v>14400</v>
      </c>
      <c r="L579" t="s">
        <v>4790</v>
      </c>
      <c r="M579" t="s">
        <v>5946</v>
      </c>
    </row>
    <row r="580" spans="1:13" x14ac:dyDescent="0.3">
      <c r="A580" t="s">
        <v>5947</v>
      </c>
      <c r="B580" t="s">
        <v>1263</v>
      </c>
      <c r="C580" t="s">
        <v>1118</v>
      </c>
      <c r="D580" s="1">
        <v>46133</v>
      </c>
      <c r="E580" t="s">
        <v>12</v>
      </c>
      <c r="F580" t="s">
        <v>6181</v>
      </c>
      <c r="G58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80">
        <f>Payment_Dataset[[#This Row],[Total Amount]]-Payment_Dataset[[#This Row],[Amount_Paid]]</f>
        <v>6700</v>
      </c>
      <c r="I580">
        <v>0</v>
      </c>
      <c r="J580">
        <v>6700</v>
      </c>
      <c r="K580">
        <v>6700</v>
      </c>
      <c r="L580" t="s">
        <v>4799</v>
      </c>
      <c r="M580" t="s">
        <v>5948</v>
      </c>
    </row>
    <row r="581" spans="1:13" x14ac:dyDescent="0.3">
      <c r="A581" t="s">
        <v>5949</v>
      </c>
      <c r="B581" t="s">
        <v>1265</v>
      </c>
      <c r="C581" t="s">
        <v>2551</v>
      </c>
      <c r="D581" s="1">
        <v>46039</v>
      </c>
      <c r="E581" t="s">
        <v>12</v>
      </c>
      <c r="F581" t="s">
        <v>6181</v>
      </c>
      <c r="G58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81">
        <f>Payment_Dataset[[#This Row],[Total Amount]]-Payment_Dataset[[#This Row],[Amount_Paid]]</f>
        <v>24000</v>
      </c>
      <c r="I581">
        <v>0</v>
      </c>
      <c r="J581">
        <v>24000</v>
      </c>
      <c r="K581">
        <v>24000</v>
      </c>
      <c r="L581" t="s">
        <v>4793</v>
      </c>
      <c r="M581" t="s">
        <v>5950</v>
      </c>
    </row>
    <row r="582" spans="1:13" x14ac:dyDescent="0.3">
      <c r="A582" t="s">
        <v>5951</v>
      </c>
      <c r="B582" t="s">
        <v>1267</v>
      </c>
      <c r="C582" t="s">
        <v>2307</v>
      </c>
      <c r="D582" s="1">
        <v>46187</v>
      </c>
      <c r="E582" t="s">
        <v>12</v>
      </c>
      <c r="F582" t="s">
        <v>6181</v>
      </c>
      <c r="G58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82">
        <f>Payment_Dataset[[#This Row],[Total Amount]]-Payment_Dataset[[#This Row],[Amount_Paid]]</f>
        <v>14400</v>
      </c>
      <c r="I582">
        <v>0</v>
      </c>
      <c r="J582">
        <v>14400</v>
      </c>
      <c r="K582">
        <v>14400</v>
      </c>
      <c r="L582" t="s">
        <v>4796</v>
      </c>
      <c r="M582" t="s">
        <v>5952</v>
      </c>
    </row>
    <row r="583" spans="1:13" x14ac:dyDescent="0.3">
      <c r="A583" t="s">
        <v>5953</v>
      </c>
      <c r="B583" t="s">
        <v>1269</v>
      </c>
      <c r="C583" t="s">
        <v>1903</v>
      </c>
      <c r="D583" s="1">
        <v>46093</v>
      </c>
      <c r="E583" t="s">
        <v>12</v>
      </c>
      <c r="F583" t="s">
        <v>6181</v>
      </c>
      <c r="G58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83">
        <f>Payment_Dataset[[#This Row],[Total Amount]]-Payment_Dataset[[#This Row],[Amount_Paid]]</f>
        <v>5200</v>
      </c>
      <c r="I583">
        <v>0</v>
      </c>
      <c r="J583">
        <v>5200</v>
      </c>
      <c r="K583">
        <v>5200</v>
      </c>
      <c r="L583" t="s">
        <v>4787</v>
      </c>
      <c r="M583" t="s">
        <v>5954</v>
      </c>
    </row>
    <row r="584" spans="1:13" x14ac:dyDescent="0.3">
      <c r="A584" t="s">
        <v>5955</v>
      </c>
      <c r="B584" t="s">
        <v>1271</v>
      </c>
      <c r="C584" t="s">
        <v>2916</v>
      </c>
      <c r="D584" s="1">
        <v>46054</v>
      </c>
      <c r="E584" t="s">
        <v>38</v>
      </c>
      <c r="F584" t="s">
        <v>6180</v>
      </c>
      <c r="G58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49000</v>
      </c>
      <c r="H584">
        <f>Payment_Dataset[[#This Row],[Total Amount]]-Payment_Dataset[[#This Row],[Amount_Paid]]</f>
        <v>0</v>
      </c>
      <c r="I584">
        <v>49000</v>
      </c>
      <c r="J584">
        <v>0</v>
      </c>
      <c r="K584">
        <v>49000</v>
      </c>
      <c r="L584" t="s">
        <v>4799</v>
      </c>
      <c r="M584" t="s">
        <v>5956</v>
      </c>
    </row>
    <row r="585" spans="1:13" x14ac:dyDescent="0.3">
      <c r="A585" t="s">
        <v>5957</v>
      </c>
      <c r="B585" t="s">
        <v>1273</v>
      </c>
      <c r="C585" t="s">
        <v>1557</v>
      </c>
      <c r="D585" s="1">
        <v>46166</v>
      </c>
      <c r="E585" t="s">
        <v>12</v>
      </c>
      <c r="F585" t="s">
        <v>6181</v>
      </c>
      <c r="G58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85">
        <f>Payment_Dataset[[#This Row],[Total Amount]]-Payment_Dataset[[#This Row],[Amount_Paid]]</f>
        <v>6900</v>
      </c>
      <c r="I585">
        <v>0</v>
      </c>
      <c r="J585">
        <v>6900</v>
      </c>
      <c r="K585">
        <v>6900</v>
      </c>
      <c r="L585" t="s">
        <v>4796</v>
      </c>
      <c r="M585" t="s">
        <v>5958</v>
      </c>
    </row>
    <row r="586" spans="1:13" x14ac:dyDescent="0.3">
      <c r="A586" t="s">
        <v>5959</v>
      </c>
      <c r="B586" t="s">
        <v>1275</v>
      </c>
      <c r="C586" t="s">
        <v>2567</v>
      </c>
      <c r="D586" s="1">
        <v>46060</v>
      </c>
      <c r="E586" t="s">
        <v>12</v>
      </c>
      <c r="F586" t="s">
        <v>6181</v>
      </c>
      <c r="G58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86">
        <f>Payment_Dataset[[#This Row],[Total Amount]]-Payment_Dataset[[#This Row],[Amount_Paid]]</f>
        <v>24500</v>
      </c>
      <c r="I586">
        <v>0</v>
      </c>
      <c r="J586">
        <v>24500</v>
      </c>
      <c r="K586">
        <v>24500</v>
      </c>
      <c r="L586" t="s">
        <v>4790</v>
      </c>
      <c r="M586" t="s">
        <v>5960</v>
      </c>
    </row>
    <row r="587" spans="1:13" x14ac:dyDescent="0.3">
      <c r="A587" t="s">
        <v>5961</v>
      </c>
      <c r="B587" t="s">
        <v>1277</v>
      </c>
      <c r="C587" t="s">
        <v>1481</v>
      </c>
      <c r="D587" s="1">
        <v>46090</v>
      </c>
      <c r="E587" t="s">
        <v>12</v>
      </c>
      <c r="F587" t="s">
        <v>6181</v>
      </c>
      <c r="G58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87">
        <f>Payment_Dataset[[#This Row],[Total Amount]]-Payment_Dataset[[#This Row],[Amount_Paid]]</f>
        <v>14400</v>
      </c>
      <c r="I587">
        <v>0</v>
      </c>
      <c r="J587">
        <v>14400</v>
      </c>
      <c r="K587">
        <v>14400</v>
      </c>
      <c r="L587" t="s">
        <v>4790</v>
      </c>
      <c r="M587" t="s">
        <v>5962</v>
      </c>
    </row>
    <row r="588" spans="1:13" x14ac:dyDescent="0.3">
      <c r="A588" t="s">
        <v>5963</v>
      </c>
      <c r="B588" t="s">
        <v>1279</v>
      </c>
      <c r="C588" t="s">
        <v>2226</v>
      </c>
      <c r="D588" s="1">
        <v>46196</v>
      </c>
      <c r="E588" t="s">
        <v>38</v>
      </c>
      <c r="F588" t="s">
        <v>6180</v>
      </c>
      <c r="G58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29400</v>
      </c>
      <c r="H588">
        <f>Payment_Dataset[[#This Row],[Total Amount]]-Payment_Dataset[[#This Row],[Amount_Paid]]</f>
        <v>0</v>
      </c>
      <c r="I588">
        <v>29400</v>
      </c>
      <c r="J588">
        <v>0</v>
      </c>
      <c r="K588">
        <v>29400</v>
      </c>
      <c r="L588" t="s">
        <v>4796</v>
      </c>
      <c r="M588" t="s">
        <v>5964</v>
      </c>
    </row>
    <row r="589" spans="1:13" x14ac:dyDescent="0.3">
      <c r="A589" t="s">
        <v>5965</v>
      </c>
      <c r="B589" t="s">
        <v>1281</v>
      </c>
      <c r="C589" t="s">
        <v>2843</v>
      </c>
      <c r="D589" s="1">
        <v>46064</v>
      </c>
      <c r="E589" t="s">
        <v>12</v>
      </c>
      <c r="F589" t="s">
        <v>6181</v>
      </c>
      <c r="G58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89">
        <f>Payment_Dataset[[#This Row],[Total Amount]]-Payment_Dataset[[#This Row],[Amount_Paid]]</f>
        <v>53900</v>
      </c>
      <c r="I589">
        <v>0</v>
      </c>
      <c r="J589">
        <v>53900</v>
      </c>
      <c r="K589">
        <v>53900</v>
      </c>
      <c r="L589" t="s">
        <v>4796</v>
      </c>
      <c r="M589" t="s">
        <v>5966</v>
      </c>
    </row>
    <row r="590" spans="1:13" x14ac:dyDescent="0.3">
      <c r="A590" t="s">
        <v>5967</v>
      </c>
      <c r="B590" t="s">
        <v>1283</v>
      </c>
      <c r="C590" t="s">
        <v>1359</v>
      </c>
      <c r="D590" s="1">
        <v>46116</v>
      </c>
      <c r="E590" t="s">
        <v>38</v>
      </c>
      <c r="F590" t="s">
        <v>6180</v>
      </c>
      <c r="G59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29400</v>
      </c>
      <c r="H590">
        <f>Payment_Dataset[[#This Row],[Total Amount]]-Payment_Dataset[[#This Row],[Amount_Paid]]</f>
        <v>0</v>
      </c>
      <c r="I590">
        <v>29400</v>
      </c>
      <c r="J590">
        <v>0</v>
      </c>
      <c r="K590">
        <v>29400</v>
      </c>
      <c r="L590" t="s">
        <v>4796</v>
      </c>
      <c r="M590" t="s">
        <v>5968</v>
      </c>
    </row>
    <row r="591" spans="1:13" x14ac:dyDescent="0.3">
      <c r="A591" t="s">
        <v>5969</v>
      </c>
      <c r="B591" t="s">
        <v>1285</v>
      </c>
      <c r="C591" t="s">
        <v>3804</v>
      </c>
      <c r="D591" s="1">
        <v>46147</v>
      </c>
      <c r="E591" t="s">
        <v>38</v>
      </c>
      <c r="F591" t="s">
        <v>6180</v>
      </c>
      <c r="G59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8300</v>
      </c>
      <c r="H591">
        <f>Payment_Dataset[[#This Row],[Total Amount]]-Payment_Dataset[[#This Row],[Amount_Paid]]</f>
        <v>0</v>
      </c>
      <c r="I591">
        <v>8300</v>
      </c>
      <c r="J591">
        <v>0</v>
      </c>
      <c r="K591">
        <v>8300</v>
      </c>
      <c r="L591" t="s">
        <v>4799</v>
      </c>
      <c r="M591" t="s">
        <v>5970</v>
      </c>
    </row>
    <row r="592" spans="1:13" x14ac:dyDescent="0.3">
      <c r="A592" t="s">
        <v>5971</v>
      </c>
      <c r="B592" t="s">
        <v>1287</v>
      </c>
      <c r="C592" t="s">
        <v>2980</v>
      </c>
      <c r="D592" s="1">
        <v>46062</v>
      </c>
      <c r="E592" t="s">
        <v>12</v>
      </c>
      <c r="F592" t="s">
        <v>6181</v>
      </c>
      <c r="G59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92">
        <f>Payment_Dataset[[#This Row],[Total Amount]]-Payment_Dataset[[#This Row],[Amount_Paid]]</f>
        <v>19500</v>
      </c>
      <c r="I592">
        <v>0</v>
      </c>
      <c r="J592">
        <v>19500</v>
      </c>
      <c r="K592">
        <v>19500</v>
      </c>
      <c r="L592" t="s">
        <v>4793</v>
      </c>
      <c r="M592" t="s">
        <v>5972</v>
      </c>
    </row>
    <row r="593" spans="1:13" x14ac:dyDescent="0.3">
      <c r="A593" t="s">
        <v>5973</v>
      </c>
      <c r="B593" t="s">
        <v>1289</v>
      </c>
      <c r="C593" t="s">
        <v>2632</v>
      </c>
      <c r="D593" s="1">
        <v>46172</v>
      </c>
      <c r="E593" t="s">
        <v>12</v>
      </c>
      <c r="F593" t="s">
        <v>6181</v>
      </c>
      <c r="G59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93">
        <f>Payment_Dataset[[#This Row],[Total Amount]]-Payment_Dataset[[#This Row],[Amount_Paid]]</f>
        <v>15400</v>
      </c>
      <c r="I593">
        <v>0</v>
      </c>
      <c r="J593">
        <v>15400</v>
      </c>
      <c r="K593">
        <v>15400</v>
      </c>
      <c r="L593" t="s">
        <v>4793</v>
      </c>
      <c r="M593" t="s">
        <v>5974</v>
      </c>
    </row>
    <row r="594" spans="1:13" x14ac:dyDescent="0.3">
      <c r="A594" t="s">
        <v>5975</v>
      </c>
      <c r="B594" t="s">
        <v>1291</v>
      </c>
      <c r="C594" t="s">
        <v>3737</v>
      </c>
      <c r="D594" s="1">
        <v>46193</v>
      </c>
      <c r="E594" t="s">
        <v>12</v>
      </c>
      <c r="F594" t="s">
        <v>6181</v>
      </c>
      <c r="G59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94">
        <f>Payment_Dataset[[#This Row],[Total Amount]]-Payment_Dataset[[#This Row],[Amount_Paid]]</f>
        <v>34500</v>
      </c>
      <c r="I594">
        <v>0</v>
      </c>
      <c r="J594">
        <v>34500</v>
      </c>
      <c r="K594">
        <v>34500</v>
      </c>
      <c r="L594" t="s">
        <v>4787</v>
      </c>
      <c r="M594" t="s">
        <v>5976</v>
      </c>
    </row>
    <row r="595" spans="1:13" x14ac:dyDescent="0.3">
      <c r="A595" t="s">
        <v>5977</v>
      </c>
      <c r="B595" t="s">
        <v>1293</v>
      </c>
      <c r="C595" t="s">
        <v>1359</v>
      </c>
      <c r="D595" s="1">
        <v>46159</v>
      </c>
      <c r="E595" t="s">
        <v>49</v>
      </c>
      <c r="F595" t="s">
        <v>6182</v>
      </c>
      <c r="G59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7279.9999999999991</v>
      </c>
      <c r="H595">
        <f>Payment_Dataset[[#This Row],[Total Amount]]-Payment_Dataset[[#This Row],[Amount_Paid]]</f>
        <v>13520</v>
      </c>
      <c r="I595">
        <v>7280</v>
      </c>
      <c r="J595">
        <v>13520</v>
      </c>
      <c r="K595">
        <v>20800</v>
      </c>
      <c r="L595" t="s">
        <v>4793</v>
      </c>
      <c r="M595" t="s">
        <v>5978</v>
      </c>
    </row>
    <row r="596" spans="1:13" x14ac:dyDescent="0.3">
      <c r="A596" t="s">
        <v>5979</v>
      </c>
      <c r="B596" t="s">
        <v>1295</v>
      </c>
      <c r="C596" t="s">
        <v>562</v>
      </c>
      <c r="D596" s="1">
        <v>46194</v>
      </c>
      <c r="E596" t="s">
        <v>12</v>
      </c>
      <c r="F596" t="s">
        <v>6181</v>
      </c>
      <c r="G59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96">
        <f>Payment_Dataset[[#This Row],[Total Amount]]-Payment_Dataset[[#This Row],[Amount_Paid]]</f>
        <v>14400</v>
      </c>
      <c r="I596">
        <v>0</v>
      </c>
      <c r="J596">
        <v>14400</v>
      </c>
      <c r="K596">
        <v>14400</v>
      </c>
      <c r="L596" t="s">
        <v>4793</v>
      </c>
      <c r="M596" t="s">
        <v>5980</v>
      </c>
    </row>
    <row r="597" spans="1:13" x14ac:dyDescent="0.3">
      <c r="A597" t="s">
        <v>5981</v>
      </c>
      <c r="B597" t="s">
        <v>1297</v>
      </c>
      <c r="C597" t="s">
        <v>1090</v>
      </c>
      <c r="D597" s="1">
        <v>46028</v>
      </c>
      <c r="E597" t="s">
        <v>76</v>
      </c>
      <c r="F597" t="s">
        <v>6183</v>
      </c>
      <c r="G59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97">
        <f>Payment_Dataset[[#This Row],[Total Amount]]-Payment_Dataset[[#This Row],[Amount_Paid]]</f>
        <v>0</v>
      </c>
      <c r="I597">
        <v>0</v>
      </c>
      <c r="J597">
        <v>0</v>
      </c>
      <c r="K597">
        <v>0</v>
      </c>
      <c r="L597" t="s">
        <v>6178</v>
      </c>
      <c r="M597" t="s">
        <v>5982</v>
      </c>
    </row>
    <row r="598" spans="1:13" x14ac:dyDescent="0.3">
      <c r="A598" t="s">
        <v>5983</v>
      </c>
      <c r="B598" t="s">
        <v>1299</v>
      </c>
      <c r="C598" t="s">
        <v>606</v>
      </c>
      <c r="D598" s="1">
        <v>46179</v>
      </c>
      <c r="E598" t="s">
        <v>12</v>
      </c>
      <c r="F598" t="s">
        <v>6181</v>
      </c>
      <c r="G598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98">
        <f>Payment_Dataset[[#This Row],[Total Amount]]-Payment_Dataset[[#This Row],[Amount_Paid]]</f>
        <v>6500</v>
      </c>
      <c r="I598">
        <v>0</v>
      </c>
      <c r="J598">
        <v>6500</v>
      </c>
      <c r="K598">
        <v>6500</v>
      </c>
      <c r="L598" t="s">
        <v>4796</v>
      </c>
      <c r="M598" t="s">
        <v>5984</v>
      </c>
    </row>
    <row r="599" spans="1:13" x14ac:dyDescent="0.3">
      <c r="A599" t="s">
        <v>5985</v>
      </c>
      <c r="B599" t="s">
        <v>1301</v>
      </c>
      <c r="C599" t="s">
        <v>1729</v>
      </c>
      <c r="D599" s="1">
        <v>46201</v>
      </c>
      <c r="E599" t="s">
        <v>12</v>
      </c>
      <c r="F599" t="s">
        <v>6181</v>
      </c>
      <c r="G599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599">
        <f>Payment_Dataset[[#This Row],[Total Amount]]-Payment_Dataset[[#This Row],[Amount_Paid]]</f>
        <v>35000</v>
      </c>
      <c r="I599">
        <v>0</v>
      </c>
      <c r="J599">
        <v>35000</v>
      </c>
      <c r="K599">
        <v>35000</v>
      </c>
      <c r="L599" t="s">
        <v>4787</v>
      </c>
      <c r="M599" t="s">
        <v>5986</v>
      </c>
    </row>
    <row r="600" spans="1:13" x14ac:dyDescent="0.3">
      <c r="A600" t="s">
        <v>5987</v>
      </c>
      <c r="B600" t="s">
        <v>1303</v>
      </c>
      <c r="C600" t="s">
        <v>2390</v>
      </c>
      <c r="D600" s="1">
        <v>46141</v>
      </c>
      <c r="E600" t="s">
        <v>12</v>
      </c>
      <c r="F600" t="s">
        <v>6181</v>
      </c>
      <c r="G600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00">
        <f>Payment_Dataset[[#This Row],[Total Amount]]-Payment_Dataset[[#This Row],[Amount_Paid]]</f>
        <v>15000</v>
      </c>
      <c r="I600">
        <v>0</v>
      </c>
      <c r="J600">
        <v>15000</v>
      </c>
      <c r="K600">
        <v>15000</v>
      </c>
      <c r="L600" t="s">
        <v>4799</v>
      </c>
      <c r="M600" t="s">
        <v>5988</v>
      </c>
    </row>
    <row r="601" spans="1:13" x14ac:dyDescent="0.3">
      <c r="A601" t="s">
        <v>5989</v>
      </c>
      <c r="B601" t="s">
        <v>1305</v>
      </c>
      <c r="C601" t="s">
        <v>2135</v>
      </c>
      <c r="D601" s="1">
        <v>46030</v>
      </c>
      <c r="E601" t="s">
        <v>38</v>
      </c>
      <c r="F601" t="s">
        <v>6180</v>
      </c>
      <c r="G601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7000</v>
      </c>
      <c r="H601">
        <f>Payment_Dataset[[#This Row],[Total Amount]]-Payment_Dataset[[#This Row],[Amount_Paid]]</f>
        <v>0</v>
      </c>
      <c r="I601">
        <v>7000</v>
      </c>
      <c r="J601">
        <v>0</v>
      </c>
      <c r="K601">
        <v>7000</v>
      </c>
      <c r="L601" t="s">
        <v>4787</v>
      </c>
      <c r="M601" t="s">
        <v>5990</v>
      </c>
    </row>
    <row r="602" spans="1:13" x14ac:dyDescent="0.3">
      <c r="A602" t="s">
        <v>5991</v>
      </c>
      <c r="B602" t="s">
        <v>1307</v>
      </c>
      <c r="C602" t="s">
        <v>2497</v>
      </c>
      <c r="D602" s="1">
        <v>46168</v>
      </c>
      <c r="E602" t="s">
        <v>12</v>
      </c>
      <c r="F602" t="s">
        <v>6181</v>
      </c>
      <c r="G602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02">
        <f>Payment_Dataset[[#This Row],[Total Amount]]-Payment_Dataset[[#This Row],[Amount_Paid]]</f>
        <v>4200</v>
      </c>
      <c r="I602">
        <v>0</v>
      </c>
      <c r="J602">
        <v>4200</v>
      </c>
      <c r="K602">
        <v>4200</v>
      </c>
      <c r="L602" t="s">
        <v>4799</v>
      </c>
      <c r="M602" t="s">
        <v>5992</v>
      </c>
    </row>
    <row r="603" spans="1:13" x14ac:dyDescent="0.3">
      <c r="A603" t="s">
        <v>5993</v>
      </c>
      <c r="B603" t="s">
        <v>1309</v>
      </c>
      <c r="C603" t="s">
        <v>741</v>
      </c>
      <c r="D603" s="1">
        <v>46139</v>
      </c>
      <c r="E603" t="s">
        <v>12</v>
      </c>
      <c r="F603" t="s">
        <v>6181</v>
      </c>
      <c r="G603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03">
        <f>Payment_Dataset[[#This Row],[Total Amount]]-Payment_Dataset[[#This Row],[Amount_Paid]]</f>
        <v>16600</v>
      </c>
      <c r="I603">
        <v>0</v>
      </c>
      <c r="J603">
        <v>16600</v>
      </c>
      <c r="K603">
        <v>16600</v>
      </c>
      <c r="L603" t="s">
        <v>4793</v>
      </c>
      <c r="M603" t="s">
        <v>5994</v>
      </c>
    </row>
    <row r="604" spans="1:13" x14ac:dyDescent="0.3">
      <c r="A604" t="s">
        <v>5995</v>
      </c>
      <c r="B604" t="s">
        <v>1311</v>
      </c>
      <c r="C604" t="s">
        <v>2792</v>
      </c>
      <c r="D604" s="1">
        <v>46056</v>
      </c>
      <c r="E604" t="s">
        <v>12</v>
      </c>
      <c r="F604" t="s">
        <v>6181</v>
      </c>
      <c r="G604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04">
        <f>Payment_Dataset[[#This Row],[Total Amount]]-Payment_Dataset[[#This Row],[Amount_Paid]]</f>
        <v>20100</v>
      </c>
      <c r="I604">
        <v>0</v>
      </c>
      <c r="J604">
        <v>20100</v>
      </c>
      <c r="K604">
        <v>20100</v>
      </c>
      <c r="L604" t="s">
        <v>4787</v>
      </c>
      <c r="M604" t="s">
        <v>5996</v>
      </c>
    </row>
    <row r="605" spans="1:13" x14ac:dyDescent="0.3">
      <c r="A605" t="s">
        <v>5997</v>
      </c>
      <c r="B605" t="s">
        <v>1313</v>
      </c>
      <c r="C605" t="s">
        <v>3940</v>
      </c>
      <c r="D605" s="1">
        <v>46110</v>
      </c>
      <c r="E605" t="s">
        <v>12</v>
      </c>
      <c r="F605" t="s">
        <v>6181</v>
      </c>
      <c r="G605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05">
        <f>Payment_Dataset[[#This Row],[Total Amount]]-Payment_Dataset[[#This Row],[Amount_Paid]]</f>
        <v>23500</v>
      </c>
      <c r="I605">
        <v>0</v>
      </c>
      <c r="J605">
        <v>23500</v>
      </c>
      <c r="K605">
        <v>23500</v>
      </c>
      <c r="L605" t="s">
        <v>4787</v>
      </c>
      <c r="M605" t="s">
        <v>5998</v>
      </c>
    </row>
    <row r="606" spans="1:13" x14ac:dyDescent="0.3">
      <c r="A606" t="s">
        <v>5999</v>
      </c>
      <c r="B606" t="s">
        <v>1315</v>
      </c>
      <c r="C606" t="s">
        <v>4445</v>
      </c>
      <c r="D606" s="1">
        <v>46184</v>
      </c>
      <c r="E606" t="s">
        <v>12</v>
      </c>
      <c r="F606" t="s">
        <v>6181</v>
      </c>
      <c r="G606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06">
        <f>Payment_Dataset[[#This Row],[Total Amount]]-Payment_Dataset[[#This Row],[Amount_Paid]]</f>
        <v>9400</v>
      </c>
      <c r="I606">
        <v>0</v>
      </c>
      <c r="J606">
        <v>9400</v>
      </c>
      <c r="K606">
        <v>9400</v>
      </c>
      <c r="L606" t="s">
        <v>4799</v>
      </c>
      <c r="M606" t="s">
        <v>6000</v>
      </c>
    </row>
    <row r="607" spans="1:13" x14ac:dyDescent="0.3">
      <c r="A607" t="s">
        <v>6001</v>
      </c>
      <c r="B607" t="s">
        <v>1317</v>
      </c>
      <c r="C607" t="s">
        <v>374</v>
      </c>
      <c r="D607" s="1">
        <v>46105</v>
      </c>
      <c r="E607" t="s">
        <v>12</v>
      </c>
      <c r="F607" t="s">
        <v>6181</v>
      </c>
      <c r="G607" s="3">
        <f>IF(Payment_Dataset[[#This Row],[Booking_Status]]="Completed",VLOOKUP(Payment_Dataset[[#This Row],[Booking_ID]],Booking_Dataset_Fact_Table[],11,FALSE)/VLOOKUP(Payment_Dataset[[#This Row],[Booking_Status]],Payment_Dataset!$N$6:$P$9,3,FALSE),
IF(Payment_Dataset[[#This Row],[Booking_Status]]="Checked-In",VLOOKUP(Payment_Dataset[[#This Row],[Booking_ID]],Booking_Dataset_Fact_Table[],11,FALSE)*VLOOKUP(Payment_Dataset[[#This Row],[Booking_Status]],Payment_Dataset!$N$6:$P$9,3,FALSE),
IF(Payment_Dataset[[#This Row],[Booking_Status]]="Cancelled",VLOOKUP(Payment_Dataset[[#This Row],[Booking_ID]],Booking_Dataset_Fact_Table[],11,FALSE)*VLOOKUP(Payment_Dataset[[#This Row],[Booking_Status]],Payment_Dataset!$N$6:$P$9,3,FALSE),
IF(Payment_Dataset[[#This Row],[Booking_Status]]="Confirmed",0))))</f>
        <v>0</v>
      </c>
      <c r="H607">
        <f>Payment_Dataset[[#This Row],[Total Amount]]-Payment_Dataset[[#This Row],[Amount_Paid]]</f>
        <v>19200</v>
      </c>
      <c r="I607">
        <v>0</v>
      </c>
      <c r="J607">
        <v>19200</v>
      </c>
      <c r="K607">
        <v>19200</v>
      </c>
      <c r="L607" t="s">
        <v>4799</v>
      </c>
      <c r="M607" t="s">
        <v>6002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10BF-CC26-4590-945A-D420040F42BE}">
  <dimension ref="A1:L145"/>
  <sheetViews>
    <sheetView workbookViewId="0">
      <selection activeCell="O16" sqref="O16"/>
    </sheetView>
  </sheetViews>
  <sheetFormatPr defaultRowHeight="14.4" x14ac:dyDescent="0.3"/>
  <cols>
    <col min="1" max="1" width="14" bestFit="1" customWidth="1"/>
    <col min="2" max="2" width="20.6640625" bestFit="1" customWidth="1"/>
    <col min="3" max="3" width="9.33203125" bestFit="1" customWidth="1"/>
    <col min="4" max="4" width="6.21875" bestFit="1" customWidth="1"/>
    <col min="5" max="5" width="13.21875" bestFit="1" customWidth="1"/>
    <col min="6" max="6" width="20" bestFit="1" customWidth="1"/>
    <col min="7" max="7" width="8.44140625" bestFit="1" customWidth="1"/>
    <col min="8" max="8" width="14.33203125" bestFit="1" customWidth="1"/>
    <col min="9" max="9" width="10.6640625" bestFit="1" customWidth="1"/>
    <col min="10" max="10" width="13.5546875" bestFit="1" customWidth="1"/>
    <col min="11" max="11" width="7.44140625" bestFit="1" customWidth="1"/>
    <col min="12" max="12" width="16" bestFit="1" customWidth="1"/>
  </cols>
  <sheetData>
    <row r="1" spans="1:12" x14ac:dyDescent="0.3">
      <c r="A1" t="s">
        <v>4463</v>
      </c>
      <c r="B1" t="s">
        <v>4464</v>
      </c>
      <c r="C1" t="s">
        <v>1322</v>
      </c>
      <c r="D1" t="s">
        <v>1321</v>
      </c>
      <c r="E1" t="s">
        <v>4465</v>
      </c>
      <c r="F1" t="s">
        <v>4466</v>
      </c>
      <c r="G1" t="s">
        <v>4467</v>
      </c>
      <c r="H1" t="s">
        <v>1324</v>
      </c>
      <c r="I1" t="s">
        <v>1323</v>
      </c>
      <c r="J1" t="s">
        <v>4468</v>
      </c>
      <c r="K1" t="s">
        <v>4469</v>
      </c>
      <c r="L1" t="s">
        <v>1325</v>
      </c>
    </row>
    <row r="2" spans="1:12" x14ac:dyDescent="0.3">
      <c r="A2" t="s">
        <v>4470</v>
      </c>
      <c r="B2" t="s">
        <v>4471</v>
      </c>
      <c r="C2" t="s">
        <v>1328</v>
      </c>
      <c r="D2">
        <v>37</v>
      </c>
      <c r="E2" t="s">
        <v>4472</v>
      </c>
      <c r="F2" t="s">
        <v>4473</v>
      </c>
      <c r="G2">
        <v>30915</v>
      </c>
      <c r="H2" t="s">
        <v>4474</v>
      </c>
      <c r="I2" t="s">
        <v>1568</v>
      </c>
      <c r="J2" s="1">
        <v>44698</v>
      </c>
      <c r="K2" t="s">
        <v>4475</v>
      </c>
      <c r="L2">
        <v>7094725306</v>
      </c>
    </row>
    <row r="3" spans="1:12" x14ac:dyDescent="0.3">
      <c r="A3" t="s">
        <v>4476</v>
      </c>
      <c r="B3" t="s">
        <v>4477</v>
      </c>
      <c r="C3" t="s">
        <v>1336</v>
      </c>
      <c r="D3">
        <v>42</v>
      </c>
      <c r="E3" t="s">
        <v>4478</v>
      </c>
      <c r="F3" t="s">
        <v>4479</v>
      </c>
      <c r="G3">
        <v>21506</v>
      </c>
      <c r="H3" t="s">
        <v>4474</v>
      </c>
      <c r="I3" t="s">
        <v>1568</v>
      </c>
      <c r="J3" s="1">
        <v>45735</v>
      </c>
      <c r="K3" t="s">
        <v>4480</v>
      </c>
      <c r="L3">
        <v>8635901217</v>
      </c>
    </row>
    <row r="4" spans="1:12" x14ac:dyDescent="0.3">
      <c r="A4" t="s">
        <v>4481</v>
      </c>
      <c r="B4" t="s">
        <v>4482</v>
      </c>
      <c r="C4" t="s">
        <v>1328</v>
      </c>
      <c r="D4">
        <v>37</v>
      </c>
      <c r="E4" t="s">
        <v>4472</v>
      </c>
      <c r="F4" t="s">
        <v>4473</v>
      </c>
      <c r="G4">
        <v>58804</v>
      </c>
      <c r="H4" t="s">
        <v>4474</v>
      </c>
      <c r="I4" t="s">
        <v>1568</v>
      </c>
      <c r="J4" s="1">
        <v>45403</v>
      </c>
      <c r="K4" t="s">
        <v>4483</v>
      </c>
      <c r="L4">
        <v>7002851911</v>
      </c>
    </row>
    <row r="5" spans="1:12" x14ac:dyDescent="0.3">
      <c r="A5" t="s">
        <v>4484</v>
      </c>
      <c r="B5" t="s">
        <v>4485</v>
      </c>
      <c r="C5" t="s">
        <v>1328</v>
      </c>
      <c r="D5">
        <v>20</v>
      </c>
      <c r="E5" t="s">
        <v>4486</v>
      </c>
      <c r="F5" t="s">
        <v>4487</v>
      </c>
      <c r="G5">
        <v>65180</v>
      </c>
      <c r="H5" t="s">
        <v>4488</v>
      </c>
      <c r="I5" t="s">
        <v>1504</v>
      </c>
      <c r="J5" s="1">
        <v>44859</v>
      </c>
      <c r="K5" t="s">
        <v>4483</v>
      </c>
      <c r="L5">
        <v>8519709347</v>
      </c>
    </row>
    <row r="6" spans="1:12" x14ac:dyDescent="0.3">
      <c r="A6" t="s">
        <v>4489</v>
      </c>
      <c r="B6" t="s">
        <v>4490</v>
      </c>
      <c r="C6" t="s">
        <v>1328</v>
      </c>
      <c r="D6">
        <v>22</v>
      </c>
      <c r="E6" t="s">
        <v>4486</v>
      </c>
      <c r="F6" t="s">
        <v>4491</v>
      </c>
      <c r="G6">
        <v>21276</v>
      </c>
      <c r="H6" t="s">
        <v>1368</v>
      </c>
      <c r="I6" t="s">
        <v>1637</v>
      </c>
      <c r="J6" s="1">
        <v>43978</v>
      </c>
      <c r="K6" t="s">
        <v>4480</v>
      </c>
      <c r="L6">
        <v>6028191529</v>
      </c>
    </row>
    <row r="7" spans="1:12" x14ac:dyDescent="0.3">
      <c r="A7" t="s">
        <v>4492</v>
      </c>
      <c r="B7" t="s">
        <v>4493</v>
      </c>
      <c r="C7" t="s">
        <v>1336</v>
      </c>
      <c r="D7">
        <v>26</v>
      </c>
      <c r="E7" t="s">
        <v>4494</v>
      </c>
      <c r="F7" t="s">
        <v>4495</v>
      </c>
      <c r="G7">
        <v>29265</v>
      </c>
      <c r="H7" t="s">
        <v>1409</v>
      </c>
      <c r="I7" t="s">
        <v>4496</v>
      </c>
      <c r="J7" s="1">
        <v>45704</v>
      </c>
      <c r="K7" t="s">
        <v>4480</v>
      </c>
      <c r="L7">
        <v>7252243520</v>
      </c>
    </row>
    <row r="8" spans="1:12" x14ac:dyDescent="0.3">
      <c r="A8" t="s">
        <v>4497</v>
      </c>
      <c r="B8" t="s">
        <v>4498</v>
      </c>
      <c r="C8" t="s">
        <v>1328</v>
      </c>
      <c r="D8">
        <v>35</v>
      </c>
      <c r="E8" t="s">
        <v>4499</v>
      </c>
      <c r="F8" t="s">
        <v>4500</v>
      </c>
      <c r="G8">
        <v>55010</v>
      </c>
      <c r="H8" t="s">
        <v>1409</v>
      </c>
      <c r="I8" t="s">
        <v>1713</v>
      </c>
      <c r="J8" s="1">
        <v>44354</v>
      </c>
      <c r="K8" t="s">
        <v>4483</v>
      </c>
      <c r="L8">
        <v>7992907643</v>
      </c>
    </row>
    <row r="9" spans="1:12" x14ac:dyDescent="0.3">
      <c r="A9" t="s">
        <v>4501</v>
      </c>
      <c r="B9" t="s">
        <v>4502</v>
      </c>
      <c r="C9" t="s">
        <v>1336</v>
      </c>
      <c r="D9">
        <v>34</v>
      </c>
      <c r="E9" t="s">
        <v>4478</v>
      </c>
      <c r="F9" t="s">
        <v>4503</v>
      </c>
      <c r="G9">
        <v>24219</v>
      </c>
      <c r="H9" t="s">
        <v>1368</v>
      </c>
      <c r="I9" t="s">
        <v>4504</v>
      </c>
      <c r="J9" s="1">
        <v>44382</v>
      </c>
      <c r="K9" t="s">
        <v>4483</v>
      </c>
      <c r="L9">
        <v>8257786253</v>
      </c>
    </row>
    <row r="10" spans="1:12" x14ac:dyDescent="0.3">
      <c r="A10" t="s">
        <v>4505</v>
      </c>
      <c r="B10" t="s">
        <v>4506</v>
      </c>
      <c r="C10" t="s">
        <v>1328</v>
      </c>
      <c r="D10">
        <v>48</v>
      </c>
      <c r="E10" t="s">
        <v>4494</v>
      </c>
      <c r="F10" t="s">
        <v>4495</v>
      </c>
      <c r="G10">
        <v>45388</v>
      </c>
      <c r="H10" t="s">
        <v>4474</v>
      </c>
      <c r="I10" t="s">
        <v>1594</v>
      </c>
      <c r="J10" s="1">
        <v>45992</v>
      </c>
      <c r="K10" t="s">
        <v>4480</v>
      </c>
      <c r="L10">
        <v>9121243116</v>
      </c>
    </row>
    <row r="11" spans="1:12" x14ac:dyDescent="0.3">
      <c r="A11" t="s">
        <v>4507</v>
      </c>
      <c r="B11" t="s">
        <v>4508</v>
      </c>
      <c r="C11" t="s">
        <v>1336</v>
      </c>
      <c r="D11">
        <v>42</v>
      </c>
      <c r="E11" t="s">
        <v>4509</v>
      </c>
      <c r="F11" t="s">
        <v>4510</v>
      </c>
      <c r="G11">
        <v>67331</v>
      </c>
      <c r="H11" t="s">
        <v>4474</v>
      </c>
      <c r="I11" t="s">
        <v>1444</v>
      </c>
      <c r="J11" s="1">
        <v>45310</v>
      </c>
      <c r="K11" t="s">
        <v>4483</v>
      </c>
      <c r="L11">
        <v>7169508090</v>
      </c>
    </row>
    <row r="12" spans="1:12" x14ac:dyDescent="0.3">
      <c r="A12" t="s">
        <v>4511</v>
      </c>
      <c r="B12" t="s">
        <v>4512</v>
      </c>
      <c r="C12" t="s">
        <v>1328</v>
      </c>
      <c r="D12">
        <v>27</v>
      </c>
      <c r="E12" t="s">
        <v>4513</v>
      </c>
      <c r="F12" t="s">
        <v>4514</v>
      </c>
      <c r="G12">
        <v>28254</v>
      </c>
      <c r="H12" t="s">
        <v>4474</v>
      </c>
      <c r="I12" t="s">
        <v>1568</v>
      </c>
      <c r="J12" s="1">
        <v>43824</v>
      </c>
      <c r="K12" t="s">
        <v>4483</v>
      </c>
      <c r="L12">
        <v>9258533142</v>
      </c>
    </row>
    <row r="13" spans="1:12" x14ac:dyDescent="0.3">
      <c r="A13" t="s">
        <v>4515</v>
      </c>
      <c r="B13" t="s">
        <v>4516</v>
      </c>
      <c r="C13" t="s">
        <v>1328</v>
      </c>
      <c r="D13">
        <v>34</v>
      </c>
      <c r="E13" t="s">
        <v>4499</v>
      </c>
      <c r="F13" t="s">
        <v>4500</v>
      </c>
      <c r="G13">
        <v>53606</v>
      </c>
      <c r="H13" t="s">
        <v>1368</v>
      </c>
      <c r="I13" t="s">
        <v>1637</v>
      </c>
      <c r="J13" s="1">
        <v>44962</v>
      </c>
      <c r="K13" t="s">
        <v>4483</v>
      </c>
      <c r="L13">
        <v>7211189198</v>
      </c>
    </row>
    <row r="14" spans="1:12" x14ac:dyDescent="0.3">
      <c r="A14" t="s">
        <v>4517</v>
      </c>
      <c r="B14" t="s">
        <v>4518</v>
      </c>
      <c r="C14" t="s">
        <v>1328</v>
      </c>
      <c r="D14">
        <v>50</v>
      </c>
      <c r="E14" t="s">
        <v>4513</v>
      </c>
      <c r="F14" t="s">
        <v>4514</v>
      </c>
      <c r="G14">
        <v>59880</v>
      </c>
      <c r="H14" t="s">
        <v>1368</v>
      </c>
      <c r="I14" t="s">
        <v>4504</v>
      </c>
      <c r="J14" s="1">
        <v>43923</v>
      </c>
      <c r="K14" t="s">
        <v>4475</v>
      </c>
      <c r="L14">
        <v>7995372703</v>
      </c>
    </row>
    <row r="15" spans="1:12" x14ac:dyDescent="0.3">
      <c r="A15" t="s">
        <v>4519</v>
      </c>
      <c r="B15" t="s">
        <v>4520</v>
      </c>
      <c r="C15" t="s">
        <v>1336</v>
      </c>
      <c r="D15">
        <v>47</v>
      </c>
      <c r="E15" t="s">
        <v>4509</v>
      </c>
      <c r="F15" t="s">
        <v>4510</v>
      </c>
      <c r="G15">
        <v>67794</v>
      </c>
      <c r="H15" t="s">
        <v>4488</v>
      </c>
      <c r="I15" t="s">
        <v>4521</v>
      </c>
      <c r="J15" s="1">
        <v>43729</v>
      </c>
      <c r="K15" t="s">
        <v>4480</v>
      </c>
      <c r="L15">
        <v>6336302019</v>
      </c>
    </row>
    <row r="16" spans="1:12" x14ac:dyDescent="0.3">
      <c r="A16" t="s">
        <v>4522</v>
      </c>
      <c r="B16" t="s">
        <v>4523</v>
      </c>
      <c r="C16" t="s">
        <v>1328</v>
      </c>
      <c r="D16">
        <v>49</v>
      </c>
      <c r="E16" t="s">
        <v>4494</v>
      </c>
      <c r="F16" t="s">
        <v>4524</v>
      </c>
      <c r="G16">
        <v>45019</v>
      </c>
      <c r="H16" t="s">
        <v>1409</v>
      </c>
      <c r="I16" t="s">
        <v>4496</v>
      </c>
      <c r="J16" s="1">
        <v>44474</v>
      </c>
      <c r="K16" t="s">
        <v>4480</v>
      </c>
      <c r="L16">
        <v>8754565109</v>
      </c>
    </row>
    <row r="17" spans="1:12" x14ac:dyDescent="0.3">
      <c r="A17" t="s">
        <v>4525</v>
      </c>
      <c r="B17" t="s">
        <v>4526</v>
      </c>
      <c r="C17" t="s">
        <v>1336</v>
      </c>
      <c r="D17">
        <v>24</v>
      </c>
      <c r="E17" t="s">
        <v>4509</v>
      </c>
      <c r="F17" t="s">
        <v>4527</v>
      </c>
      <c r="G17">
        <v>32882</v>
      </c>
      <c r="H17" t="s">
        <v>4474</v>
      </c>
      <c r="I17" t="s">
        <v>1568</v>
      </c>
      <c r="J17" s="1">
        <v>44601</v>
      </c>
      <c r="K17" t="s">
        <v>4475</v>
      </c>
      <c r="L17">
        <v>9672246382</v>
      </c>
    </row>
    <row r="18" spans="1:12" x14ac:dyDescent="0.3">
      <c r="A18" t="s">
        <v>4528</v>
      </c>
      <c r="B18" t="s">
        <v>4529</v>
      </c>
      <c r="C18" t="s">
        <v>1328</v>
      </c>
      <c r="D18">
        <v>37</v>
      </c>
      <c r="E18" t="s">
        <v>4513</v>
      </c>
      <c r="F18" t="s">
        <v>4514</v>
      </c>
      <c r="G18">
        <v>59472</v>
      </c>
      <c r="H18" t="s">
        <v>4474</v>
      </c>
      <c r="I18" t="s">
        <v>1594</v>
      </c>
      <c r="J18" s="1">
        <v>45707</v>
      </c>
      <c r="K18" t="s">
        <v>4475</v>
      </c>
      <c r="L18">
        <v>7176605997</v>
      </c>
    </row>
    <row r="19" spans="1:12" x14ac:dyDescent="0.3">
      <c r="A19" t="s">
        <v>4530</v>
      </c>
      <c r="B19" t="s">
        <v>4531</v>
      </c>
      <c r="C19" t="s">
        <v>1328</v>
      </c>
      <c r="D19">
        <v>23</v>
      </c>
      <c r="E19" t="s">
        <v>4532</v>
      </c>
      <c r="F19" t="s">
        <v>4533</v>
      </c>
      <c r="G19">
        <v>54357</v>
      </c>
      <c r="H19" t="s">
        <v>4488</v>
      </c>
      <c r="I19" t="s">
        <v>4521</v>
      </c>
      <c r="J19" s="1">
        <v>45212</v>
      </c>
      <c r="K19" t="s">
        <v>4480</v>
      </c>
      <c r="L19">
        <v>9687840116</v>
      </c>
    </row>
    <row r="20" spans="1:12" x14ac:dyDescent="0.3">
      <c r="A20" t="s">
        <v>4534</v>
      </c>
      <c r="B20" t="s">
        <v>4535</v>
      </c>
      <c r="C20" t="s">
        <v>1336</v>
      </c>
      <c r="D20">
        <v>50</v>
      </c>
      <c r="E20" t="s">
        <v>4513</v>
      </c>
      <c r="F20" t="s">
        <v>4514</v>
      </c>
      <c r="G20">
        <v>67494</v>
      </c>
      <c r="H20" t="s">
        <v>1409</v>
      </c>
      <c r="I20" t="s">
        <v>1713</v>
      </c>
      <c r="J20" s="1">
        <v>46096</v>
      </c>
      <c r="K20" t="s">
        <v>4483</v>
      </c>
      <c r="L20">
        <v>6756574914</v>
      </c>
    </row>
    <row r="21" spans="1:12" x14ac:dyDescent="0.3">
      <c r="A21" t="s">
        <v>4536</v>
      </c>
      <c r="B21" t="s">
        <v>4537</v>
      </c>
      <c r="C21" t="s">
        <v>1336</v>
      </c>
      <c r="D21">
        <v>33</v>
      </c>
      <c r="E21" t="s">
        <v>4478</v>
      </c>
      <c r="F21" t="s">
        <v>4479</v>
      </c>
      <c r="G21">
        <v>58072</v>
      </c>
      <c r="H21" t="s">
        <v>4488</v>
      </c>
      <c r="I21" t="s">
        <v>4521</v>
      </c>
      <c r="J21" s="1">
        <v>45602</v>
      </c>
      <c r="K21" t="s">
        <v>4475</v>
      </c>
      <c r="L21">
        <v>8216324598</v>
      </c>
    </row>
    <row r="22" spans="1:12" x14ac:dyDescent="0.3">
      <c r="A22" t="s">
        <v>4538</v>
      </c>
      <c r="B22" t="s">
        <v>4539</v>
      </c>
      <c r="C22" t="s">
        <v>1336</v>
      </c>
      <c r="D22">
        <v>26</v>
      </c>
      <c r="E22" t="s">
        <v>4499</v>
      </c>
      <c r="F22" t="s">
        <v>4540</v>
      </c>
      <c r="G22">
        <v>36197</v>
      </c>
      <c r="H22" t="s">
        <v>1409</v>
      </c>
      <c r="I22" t="s">
        <v>4496</v>
      </c>
      <c r="J22" s="1">
        <v>43659</v>
      </c>
      <c r="K22" t="s">
        <v>4483</v>
      </c>
      <c r="L22">
        <v>8502760896</v>
      </c>
    </row>
    <row r="23" spans="1:12" x14ac:dyDescent="0.3">
      <c r="A23" t="s">
        <v>4541</v>
      </c>
      <c r="B23" t="s">
        <v>4542</v>
      </c>
      <c r="C23" t="s">
        <v>1336</v>
      </c>
      <c r="D23">
        <v>42</v>
      </c>
      <c r="E23" t="s">
        <v>4478</v>
      </c>
      <c r="F23" t="s">
        <v>4479</v>
      </c>
      <c r="G23">
        <v>53418</v>
      </c>
      <c r="H23" t="s">
        <v>1409</v>
      </c>
      <c r="I23" t="s">
        <v>1713</v>
      </c>
      <c r="J23" s="1">
        <v>45716</v>
      </c>
      <c r="K23" t="s">
        <v>4483</v>
      </c>
      <c r="L23">
        <v>8105858956</v>
      </c>
    </row>
    <row r="24" spans="1:12" x14ac:dyDescent="0.3">
      <c r="A24" t="s">
        <v>4543</v>
      </c>
      <c r="B24" t="s">
        <v>4544</v>
      </c>
      <c r="C24" t="s">
        <v>1336</v>
      </c>
      <c r="D24">
        <v>40</v>
      </c>
      <c r="E24" t="s">
        <v>4509</v>
      </c>
      <c r="F24" t="s">
        <v>4510</v>
      </c>
      <c r="G24">
        <v>32355</v>
      </c>
      <c r="H24" t="s">
        <v>1368</v>
      </c>
      <c r="I24" t="s">
        <v>4504</v>
      </c>
      <c r="J24" s="1">
        <v>45167</v>
      </c>
      <c r="K24" t="s">
        <v>4483</v>
      </c>
      <c r="L24">
        <v>6951431236</v>
      </c>
    </row>
    <row r="25" spans="1:12" x14ac:dyDescent="0.3">
      <c r="A25" t="s">
        <v>4545</v>
      </c>
      <c r="B25" t="s">
        <v>4546</v>
      </c>
      <c r="C25" t="s">
        <v>1328</v>
      </c>
      <c r="D25">
        <v>42</v>
      </c>
      <c r="E25" t="s">
        <v>4532</v>
      </c>
      <c r="F25" t="s">
        <v>4533</v>
      </c>
      <c r="G25">
        <v>62157</v>
      </c>
      <c r="H25" t="s">
        <v>1368</v>
      </c>
      <c r="I25" t="s">
        <v>4504</v>
      </c>
      <c r="J25" s="1">
        <v>46130</v>
      </c>
      <c r="K25" t="s">
        <v>4483</v>
      </c>
      <c r="L25">
        <v>9303124593</v>
      </c>
    </row>
    <row r="26" spans="1:12" x14ac:dyDescent="0.3">
      <c r="A26" t="s">
        <v>4547</v>
      </c>
      <c r="B26" t="s">
        <v>4548</v>
      </c>
      <c r="C26" t="s">
        <v>1328</v>
      </c>
      <c r="D26">
        <v>40</v>
      </c>
      <c r="E26" t="s">
        <v>4494</v>
      </c>
      <c r="F26" t="s">
        <v>4524</v>
      </c>
      <c r="G26">
        <v>45383</v>
      </c>
      <c r="H26" t="s">
        <v>4488</v>
      </c>
      <c r="I26" t="s">
        <v>4521</v>
      </c>
      <c r="J26" s="1">
        <v>44738</v>
      </c>
      <c r="K26" t="s">
        <v>4475</v>
      </c>
      <c r="L26">
        <v>9839992539</v>
      </c>
    </row>
    <row r="27" spans="1:12" x14ac:dyDescent="0.3">
      <c r="A27" t="s">
        <v>4549</v>
      </c>
      <c r="B27" t="s">
        <v>4550</v>
      </c>
      <c r="C27" t="s">
        <v>1336</v>
      </c>
      <c r="D27">
        <v>44</v>
      </c>
      <c r="E27" t="s">
        <v>4509</v>
      </c>
      <c r="F27" t="s">
        <v>4527</v>
      </c>
      <c r="G27">
        <v>21557</v>
      </c>
      <c r="H27" t="s">
        <v>4488</v>
      </c>
      <c r="I27" t="s">
        <v>1504</v>
      </c>
      <c r="J27" s="1">
        <v>44036</v>
      </c>
      <c r="K27" t="s">
        <v>4475</v>
      </c>
      <c r="L27">
        <v>7019069545</v>
      </c>
    </row>
    <row r="28" spans="1:12" x14ac:dyDescent="0.3">
      <c r="A28" t="s">
        <v>4551</v>
      </c>
      <c r="B28" t="s">
        <v>4552</v>
      </c>
      <c r="C28" t="s">
        <v>1336</v>
      </c>
      <c r="D28">
        <v>50</v>
      </c>
      <c r="E28" t="s">
        <v>4494</v>
      </c>
      <c r="F28" t="s">
        <v>4495</v>
      </c>
      <c r="G28">
        <v>69012</v>
      </c>
      <c r="H28" t="s">
        <v>4488</v>
      </c>
      <c r="I28" t="s">
        <v>1504</v>
      </c>
      <c r="J28" s="1">
        <v>44923</v>
      </c>
      <c r="K28" t="s">
        <v>4483</v>
      </c>
      <c r="L28">
        <v>6108607054</v>
      </c>
    </row>
    <row r="29" spans="1:12" x14ac:dyDescent="0.3">
      <c r="A29" t="s">
        <v>4553</v>
      </c>
      <c r="B29" t="s">
        <v>4554</v>
      </c>
      <c r="C29" t="s">
        <v>1328</v>
      </c>
      <c r="D29">
        <v>28</v>
      </c>
      <c r="E29" t="s">
        <v>4532</v>
      </c>
      <c r="F29" t="s">
        <v>4533</v>
      </c>
      <c r="G29">
        <v>48597</v>
      </c>
      <c r="H29" t="s">
        <v>1368</v>
      </c>
      <c r="I29" t="s">
        <v>1637</v>
      </c>
      <c r="J29" s="1">
        <v>44599</v>
      </c>
      <c r="K29" t="s">
        <v>4480</v>
      </c>
      <c r="L29">
        <v>8809546172</v>
      </c>
    </row>
    <row r="30" spans="1:12" x14ac:dyDescent="0.3">
      <c r="A30" t="s">
        <v>4555</v>
      </c>
      <c r="B30" t="s">
        <v>4556</v>
      </c>
      <c r="C30" t="s">
        <v>1328</v>
      </c>
      <c r="D30">
        <v>45</v>
      </c>
      <c r="E30" t="s">
        <v>4557</v>
      </c>
      <c r="F30" t="s">
        <v>4558</v>
      </c>
      <c r="G30">
        <v>43449</v>
      </c>
      <c r="H30" t="s">
        <v>4488</v>
      </c>
      <c r="I30" t="s">
        <v>4521</v>
      </c>
      <c r="J30" s="1">
        <v>44565</v>
      </c>
      <c r="K30" t="s">
        <v>4480</v>
      </c>
      <c r="L30">
        <v>6530883754</v>
      </c>
    </row>
    <row r="31" spans="1:12" x14ac:dyDescent="0.3">
      <c r="A31" t="s">
        <v>4559</v>
      </c>
      <c r="B31" t="s">
        <v>4560</v>
      </c>
      <c r="C31" t="s">
        <v>1336</v>
      </c>
      <c r="D31">
        <v>48</v>
      </c>
      <c r="E31" t="s">
        <v>4478</v>
      </c>
      <c r="F31" t="s">
        <v>4503</v>
      </c>
      <c r="G31">
        <v>17162</v>
      </c>
      <c r="H31" t="s">
        <v>4488</v>
      </c>
      <c r="I31" t="s">
        <v>4521</v>
      </c>
      <c r="J31" s="1">
        <v>44530</v>
      </c>
      <c r="K31" t="s">
        <v>4475</v>
      </c>
      <c r="L31">
        <v>6686179027</v>
      </c>
    </row>
    <row r="32" spans="1:12" x14ac:dyDescent="0.3">
      <c r="A32" t="s">
        <v>4561</v>
      </c>
      <c r="B32" t="s">
        <v>4562</v>
      </c>
      <c r="C32" t="s">
        <v>1328</v>
      </c>
      <c r="D32">
        <v>45</v>
      </c>
      <c r="E32" t="s">
        <v>4486</v>
      </c>
      <c r="F32" t="s">
        <v>4487</v>
      </c>
      <c r="G32">
        <v>61710</v>
      </c>
      <c r="H32" t="s">
        <v>1409</v>
      </c>
      <c r="I32" t="s">
        <v>4496</v>
      </c>
      <c r="J32" s="1">
        <v>43284</v>
      </c>
      <c r="K32" t="s">
        <v>4483</v>
      </c>
      <c r="L32">
        <v>9436656069</v>
      </c>
    </row>
    <row r="33" spans="1:12" x14ac:dyDescent="0.3">
      <c r="A33" t="s">
        <v>223</v>
      </c>
      <c r="B33" t="s">
        <v>4563</v>
      </c>
      <c r="C33" t="s">
        <v>1328</v>
      </c>
      <c r="D33">
        <v>39</v>
      </c>
      <c r="E33" t="s">
        <v>4564</v>
      </c>
      <c r="F33" t="s">
        <v>4565</v>
      </c>
      <c r="G33">
        <v>23248</v>
      </c>
      <c r="H33" t="s">
        <v>1409</v>
      </c>
      <c r="I33" t="s">
        <v>1713</v>
      </c>
      <c r="J33" s="1">
        <v>44184</v>
      </c>
      <c r="K33" t="s">
        <v>4475</v>
      </c>
      <c r="L33">
        <v>7695998181</v>
      </c>
    </row>
    <row r="34" spans="1:12" x14ac:dyDescent="0.3">
      <c r="A34" t="s">
        <v>4566</v>
      </c>
      <c r="B34" t="s">
        <v>4567</v>
      </c>
      <c r="C34" t="s">
        <v>1336</v>
      </c>
      <c r="D34">
        <v>43</v>
      </c>
      <c r="E34" t="s">
        <v>4557</v>
      </c>
      <c r="F34" t="s">
        <v>4568</v>
      </c>
      <c r="G34">
        <v>33502</v>
      </c>
      <c r="H34" t="s">
        <v>4488</v>
      </c>
      <c r="I34" t="s">
        <v>4521</v>
      </c>
      <c r="J34" s="1">
        <v>45367</v>
      </c>
      <c r="K34" t="s">
        <v>4475</v>
      </c>
      <c r="L34">
        <v>6650949770</v>
      </c>
    </row>
    <row r="35" spans="1:12" x14ac:dyDescent="0.3">
      <c r="A35" t="s">
        <v>4569</v>
      </c>
      <c r="B35" t="s">
        <v>4570</v>
      </c>
      <c r="C35" t="s">
        <v>1336</v>
      </c>
      <c r="D35">
        <v>39</v>
      </c>
      <c r="E35" t="s">
        <v>4486</v>
      </c>
      <c r="F35" t="s">
        <v>4487</v>
      </c>
      <c r="G35">
        <v>18886</v>
      </c>
      <c r="H35" t="s">
        <v>1409</v>
      </c>
      <c r="I35" t="s">
        <v>1713</v>
      </c>
      <c r="J35" s="1">
        <v>44278</v>
      </c>
      <c r="K35" t="s">
        <v>4475</v>
      </c>
      <c r="L35">
        <v>6167111484</v>
      </c>
    </row>
    <row r="36" spans="1:12" x14ac:dyDescent="0.3">
      <c r="A36" t="s">
        <v>58</v>
      </c>
      <c r="B36" t="s">
        <v>4571</v>
      </c>
      <c r="C36" t="s">
        <v>1336</v>
      </c>
      <c r="D36">
        <v>40</v>
      </c>
      <c r="E36" t="s">
        <v>4564</v>
      </c>
      <c r="F36" t="s">
        <v>4565</v>
      </c>
      <c r="G36">
        <v>17490</v>
      </c>
      <c r="H36" t="s">
        <v>1409</v>
      </c>
      <c r="I36" t="s">
        <v>1713</v>
      </c>
      <c r="J36" s="1">
        <v>43749</v>
      </c>
      <c r="K36" t="s">
        <v>4475</v>
      </c>
      <c r="L36">
        <v>9801452615</v>
      </c>
    </row>
    <row r="37" spans="1:12" x14ac:dyDescent="0.3">
      <c r="A37" t="s">
        <v>4572</v>
      </c>
      <c r="B37" t="s">
        <v>4573</v>
      </c>
      <c r="C37" t="s">
        <v>1336</v>
      </c>
      <c r="D37">
        <v>29</v>
      </c>
      <c r="E37" t="s">
        <v>4478</v>
      </c>
      <c r="F37" t="s">
        <v>4479</v>
      </c>
      <c r="G37">
        <v>51126</v>
      </c>
      <c r="H37" t="s">
        <v>4488</v>
      </c>
      <c r="I37" t="s">
        <v>4521</v>
      </c>
      <c r="J37" s="1">
        <v>43885</v>
      </c>
      <c r="K37" t="s">
        <v>4475</v>
      </c>
      <c r="L37">
        <v>6069572255</v>
      </c>
    </row>
    <row r="38" spans="1:12" x14ac:dyDescent="0.3">
      <c r="A38" t="s">
        <v>4574</v>
      </c>
      <c r="B38" t="s">
        <v>4575</v>
      </c>
      <c r="C38" t="s">
        <v>1328</v>
      </c>
      <c r="D38">
        <v>40</v>
      </c>
      <c r="E38" t="s">
        <v>4478</v>
      </c>
      <c r="F38" t="s">
        <v>4479</v>
      </c>
      <c r="G38">
        <v>23000</v>
      </c>
      <c r="H38" t="s">
        <v>4488</v>
      </c>
      <c r="I38" t="s">
        <v>1504</v>
      </c>
      <c r="J38" s="1">
        <v>45065</v>
      </c>
      <c r="K38" t="s">
        <v>4483</v>
      </c>
      <c r="L38">
        <v>7659955427</v>
      </c>
    </row>
    <row r="39" spans="1:12" x14ac:dyDescent="0.3">
      <c r="A39" t="s">
        <v>4576</v>
      </c>
      <c r="B39" t="s">
        <v>1921</v>
      </c>
      <c r="C39" t="s">
        <v>1328</v>
      </c>
      <c r="D39">
        <v>23</v>
      </c>
      <c r="E39" t="s">
        <v>4494</v>
      </c>
      <c r="F39" t="s">
        <v>4524</v>
      </c>
      <c r="G39">
        <v>66344</v>
      </c>
      <c r="H39" t="s">
        <v>4474</v>
      </c>
      <c r="I39" t="s">
        <v>1594</v>
      </c>
      <c r="J39" s="1">
        <v>44722</v>
      </c>
      <c r="K39" t="s">
        <v>4475</v>
      </c>
      <c r="L39">
        <v>9973612767</v>
      </c>
    </row>
    <row r="40" spans="1:12" x14ac:dyDescent="0.3">
      <c r="A40" t="s">
        <v>4577</v>
      </c>
      <c r="B40" t="s">
        <v>4578</v>
      </c>
      <c r="C40" t="s">
        <v>1328</v>
      </c>
      <c r="D40">
        <v>49</v>
      </c>
      <c r="E40" t="s">
        <v>4513</v>
      </c>
      <c r="F40" t="s">
        <v>4514</v>
      </c>
      <c r="G40">
        <v>37907</v>
      </c>
      <c r="H40" t="s">
        <v>1368</v>
      </c>
      <c r="I40" t="s">
        <v>1637</v>
      </c>
      <c r="J40" s="1">
        <v>43934</v>
      </c>
      <c r="K40" t="s">
        <v>4475</v>
      </c>
      <c r="L40">
        <v>9719665568</v>
      </c>
    </row>
    <row r="41" spans="1:12" x14ac:dyDescent="0.3">
      <c r="A41" t="s">
        <v>4579</v>
      </c>
      <c r="B41" t="s">
        <v>4580</v>
      </c>
      <c r="C41" t="s">
        <v>1336</v>
      </c>
      <c r="D41">
        <v>33</v>
      </c>
      <c r="E41" t="s">
        <v>4509</v>
      </c>
      <c r="F41" t="s">
        <v>4510</v>
      </c>
      <c r="G41">
        <v>28772</v>
      </c>
      <c r="H41" t="s">
        <v>4474</v>
      </c>
      <c r="I41" t="s">
        <v>1568</v>
      </c>
      <c r="J41" s="1">
        <v>44371</v>
      </c>
      <c r="K41" t="s">
        <v>4483</v>
      </c>
      <c r="L41">
        <v>9997480693</v>
      </c>
    </row>
    <row r="42" spans="1:12" x14ac:dyDescent="0.3">
      <c r="A42" t="s">
        <v>4581</v>
      </c>
      <c r="B42" t="s">
        <v>4582</v>
      </c>
      <c r="C42" t="s">
        <v>1336</v>
      </c>
      <c r="D42">
        <v>50</v>
      </c>
      <c r="E42" t="s">
        <v>4478</v>
      </c>
      <c r="F42" t="s">
        <v>4479</v>
      </c>
      <c r="G42">
        <v>62106</v>
      </c>
      <c r="H42" t="s">
        <v>1409</v>
      </c>
      <c r="I42" t="s">
        <v>1713</v>
      </c>
      <c r="J42" s="1">
        <v>43309</v>
      </c>
      <c r="K42" t="s">
        <v>4475</v>
      </c>
      <c r="L42">
        <v>9253855135</v>
      </c>
    </row>
    <row r="43" spans="1:12" x14ac:dyDescent="0.3">
      <c r="A43" t="s">
        <v>4583</v>
      </c>
      <c r="B43" t="s">
        <v>4584</v>
      </c>
      <c r="C43" t="s">
        <v>1336</v>
      </c>
      <c r="D43">
        <v>26</v>
      </c>
      <c r="E43" t="s">
        <v>4499</v>
      </c>
      <c r="F43" t="s">
        <v>4585</v>
      </c>
      <c r="G43">
        <v>18075</v>
      </c>
      <c r="H43" t="s">
        <v>1368</v>
      </c>
      <c r="I43" t="s">
        <v>1637</v>
      </c>
      <c r="J43" s="1">
        <v>43928</v>
      </c>
      <c r="K43" t="s">
        <v>4483</v>
      </c>
      <c r="L43">
        <v>7157140587</v>
      </c>
    </row>
    <row r="44" spans="1:12" x14ac:dyDescent="0.3">
      <c r="A44" t="s">
        <v>4586</v>
      </c>
      <c r="B44" t="s">
        <v>4587</v>
      </c>
      <c r="C44" t="s">
        <v>1328</v>
      </c>
      <c r="D44">
        <v>45</v>
      </c>
      <c r="E44" t="s">
        <v>4557</v>
      </c>
      <c r="F44" t="s">
        <v>4568</v>
      </c>
      <c r="G44">
        <v>62082</v>
      </c>
      <c r="H44" t="s">
        <v>4474</v>
      </c>
      <c r="I44" t="s">
        <v>1668</v>
      </c>
      <c r="J44" s="1">
        <v>44112</v>
      </c>
      <c r="K44" t="s">
        <v>4483</v>
      </c>
      <c r="L44">
        <v>9878554204</v>
      </c>
    </row>
    <row r="45" spans="1:12" x14ac:dyDescent="0.3">
      <c r="A45" t="s">
        <v>4588</v>
      </c>
      <c r="B45" t="s">
        <v>4589</v>
      </c>
      <c r="C45" t="s">
        <v>1336</v>
      </c>
      <c r="D45">
        <v>45</v>
      </c>
      <c r="E45" t="s">
        <v>4532</v>
      </c>
      <c r="F45" t="s">
        <v>4533</v>
      </c>
      <c r="G45">
        <v>36992</v>
      </c>
      <c r="H45" t="s">
        <v>1368</v>
      </c>
      <c r="I45" t="s">
        <v>4504</v>
      </c>
      <c r="J45" s="1">
        <v>45408</v>
      </c>
      <c r="K45" t="s">
        <v>4475</v>
      </c>
      <c r="L45">
        <v>9375856304</v>
      </c>
    </row>
    <row r="46" spans="1:12" x14ac:dyDescent="0.3">
      <c r="A46" t="s">
        <v>4590</v>
      </c>
      <c r="B46" t="s">
        <v>4591</v>
      </c>
      <c r="C46" t="s">
        <v>1336</v>
      </c>
      <c r="D46">
        <v>30</v>
      </c>
      <c r="E46" t="s">
        <v>4513</v>
      </c>
      <c r="F46" t="s">
        <v>4514</v>
      </c>
      <c r="G46">
        <v>67432</v>
      </c>
      <c r="H46" t="s">
        <v>1368</v>
      </c>
      <c r="I46" t="s">
        <v>4504</v>
      </c>
      <c r="J46" s="1">
        <v>44770</v>
      </c>
      <c r="K46" t="s">
        <v>4475</v>
      </c>
      <c r="L46">
        <v>8865775906</v>
      </c>
    </row>
    <row r="47" spans="1:12" x14ac:dyDescent="0.3">
      <c r="A47" t="s">
        <v>4592</v>
      </c>
      <c r="B47" t="s">
        <v>4593</v>
      </c>
      <c r="C47" t="s">
        <v>1336</v>
      </c>
      <c r="D47">
        <v>30</v>
      </c>
      <c r="E47" t="s">
        <v>4494</v>
      </c>
      <c r="F47" t="s">
        <v>4524</v>
      </c>
      <c r="G47">
        <v>37094</v>
      </c>
      <c r="H47" t="s">
        <v>4474</v>
      </c>
      <c r="I47" t="s">
        <v>1444</v>
      </c>
      <c r="J47" s="1">
        <v>43948</v>
      </c>
      <c r="K47" t="s">
        <v>4480</v>
      </c>
      <c r="L47">
        <v>8260785447</v>
      </c>
    </row>
    <row r="48" spans="1:12" x14ac:dyDescent="0.3">
      <c r="A48" t="s">
        <v>4594</v>
      </c>
      <c r="B48" t="s">
        <v>4595</v>
      </c>
      <c r="C48" t="s">
        <v>1328</v>
      </c>
      <c r="D48">
        <v>21</v>
      </c>
      <c r="E48" t="s">
        <v>4513</v>
      </c>
      <c r="F48" t="s">
        <v>4514</v>
      </c>
      <c r="G48">
        <v>22077</v>
      </c>
      <c r="H48" t="s">
        <v>4488</v>
      </c>
      <c r="I48" t="s">
        <v>4521</v>
      </c>
      <c r="J48" s="1">
        <v>44016</v>
      </c>
      <c r="K48" t="s">
        <v>4483</v>
      </c>
      <c r="L48">
        <v>9559048840</v>
      </c>
    </row>
    <row r="49" spans="1:12" x14ac:dyDescent="0.3">
      <c r="A49" t="s">
        <v>4596</v>
      </c>
      <c r="B49" t="s">
        <v>4597</v>
      </c>
      <c r="C49" t="s">
        <v>1336</v>
      </c>
      <c r="D49">
        <v>23</v>
      </c>
      <c r="E49" t="s">
        <v>4513</v>
      </c>
      <c r="F49" t="s">
        <v>4514</v>
      </c>
      <c r="G49">
        <v>56944</v>
      </c>
      <c r="H49" t="s">
        <v>4474</v>
      </c>
      <c r="I49" t="s">
        <v>1444</v>
      </c>
      <c r="J49" s="1">
        <v>44050</v>
      </c>
      <c r="K49" t="s">
        <v>4475</v>
      </c>
      <c r="L49">
        <v>9888239195</v>
      </c>
    </row>
    <row r="50" spans="1:12" x14ac:dyDescent="0.3">
      <c r="A50" t="s">
        <v>95</v>
      </c>
      <c r="B50" t="s">
        <v>4598</v>
      </c>
      <c r="C50" t="s">
        <v>1328</v>
      </c>
      <c r="D50">
        <v>41</v>
      </c>
      <c r="E50" t="s">
        <v>4564</v>
      </c>
      <c r="F50" t="s">
        <v>4565</v>
      </c>
      <c r="G50">
        <v>29589</v>
      </c>
      <c r="H50" t="s">
        <v>4488</v>
      </c>
      <c r="I50" t="s">
        <v>1504</v>
      </c>
      <c r="J50" s="1">
        <v>43320</v>
      </c>
      <c r="K50" t="s">
        <v>4483</v>
      </c>
      <c r="L50">
        <v>9155178157</v>
      </c>
    </row>
    <row r="51" spans="1:12" x14ac:dyDescent="0.3">
      <c r="A51" t="s">
        <v>4599</v>
      </c>
      <c r="B51" t="s">
        <v>4600</v>
      </c>
      <c r="C51" t="s">
        <v>1336</v>
      </c>
      <c r="D51">
        <v>34</v>
      </c>
      <c r="E51" t="s">
        <v>4532</v>
      </c>
      <c r="F51" t="s">
        <v>4533</v>
      </c>
      <c r="G51">
        <v>28122</v>
      </c>
      <c r="H51" t="s">
        <v>4474</v>
      </c>
      <c r="I51" t="s">
        <v>1594</v>
      </c>
      <c r="J51" s="1">
        <v>45930</v>
      </c>
      <c r="K51" t="s">
        <v>4475</v>
      </c>
      <c r="L51">
        <v>6786395681</v>
      </c>
    </row>
    <row r="52" spans="1:12" x14ac:dyDescent="0.3">
      <c r="A52" t="s">
        <v>4601</v>
      </c>
      <c r="B52" t="s">
        <v>2559</v>
      </c>
      <c r="C52" t="s">
        <v>1328</v>
      </c>
      <c r="D52">
        <v>37</v>
      </c>
      <c r="E52" t="s">
        <v>4509</v>
      </c>
      <c r="F52" t="s">
        <v>4527</v>
      </c>
      <c r="G52">
        <v>26524</v>
      </c>
      <c r="H52" t="s">
        <v>1409</v>
      </c>
      <c r="I52" t="s">
        <v>1713</v>
      </c>
      <c r="J52" s="1">
        <v>44649</v>
      </c>
      <c r="K52" t="s">
        <v>4483</v>
      </c>
      <c r="L52">
        <v>8939286375</v>
      </c>
    </row>
    <row r="53" spans="1:12" x14ac:dyDescent="0.3">
      <c r="A53" t="s">
        <v>4602</v>
      </c>
      <c r="B53" t="s">
        <v>4603</v>
      </c>
      <c r="C53" t="s">
        <v>1328</v>
      </c>
      <c r="D53">
        <v>28</v>
      </c>
      <c r="E53" t="s">
        <v>4532</v>
      </c>
      <c r="F53" t="s">
        <v>4533</v>
      </c>
      <c r="G53">
        <v>17062</v>
      </c>
      <c r="H53" t="s">
        <v>4488</v>
      </c>
      <c r="I53" t="s">
        <v>4521</v>
      </c>
      <c r="J53" s="1">
        <v>45673</v>
      </c>
      <c r="K53" t="s">
        <v>4480</v>
      </c>
      <c r="L53">
        <v>6970931900</v>
      </c>
    </row>
    <row r="54" spans="1:12" x14ac:dyDescent="0.3">
      <c r="A54" t="s">
        <v>4604</v>
      </c>
      <c r="B54" t="s">
        <v>4605</v>
      </c>
      <c r="C54" t="s">
        <v>1336</v>
      </c>
      <c r="D54">
        <v>24</v>
      </c>
      <c r="E54" t="s">
        <v>4486</v>
      </c>
      <c r="F54" t="s">
        <v>4487</v>
      </c>
      <c r="G54">
        <v>47417</v>
      </c>
      <c r="H54" t="s">
        <v>4488</v>
      </c>
      <c r="I54" t="s">
        <v>4521</v>
      </c>
      <c r="J54" s="1">
        <v>46198</v>
      </c>
      <c r="K54" t="s">
        <v>4480</v>
      </c>
      <c r="L54">
        <v>8764513983</v>
      </c>
    </row>
    <row r="55" spans="1:12" x14ac:dyDescent="0.3">
      <c r="A55" t="s">
        <v>4606</v>
      </c>
      <c r="B55" t="s">
        <v>4607</v>
      </c>
      <c r="C55" t="s">
        <v>1328</v>
      </c>
      <c r="D55">
        <v>23</v>
      </c>
      <c r="E55" t="s">
        <v>4486</v>
      </c>
      <c r="F55" t="s">
        <v>4491</v>
      </c>
      <c r="G55">
        <v>16485</v>
      </c>
      <c r="H55" t="s">
        <v>1368</v>
      </c>
      <c r="I55" t="s">
        <v>4504</v>
      </c>
      <c r="J55" s="1">
        <v>43815</v>
      </c>
      <c r="K55" t="s">
        <v>4480</v>
      </c>
      <c r="L55">
        <v>7222695418</v>
      </c>
    </row>
    <row r="56" spans="1:12" x14ac:dyDescent="0.3">
      <c r="A56" t="s">
        <v>4608</v>
      </c>
      <c r="B56" t="s">
        <v>4609</v>
      </c>
      <c r="C56" t="s">
        <v>1336</v>
      </c>
      <c r="D56">
        <v>33</v>
      </c>
      <c r="E56" t="s">
        <v>4478</v>
      </c>
      <c r="F56" t="s">
        <v>4503</v>
      </c>
      <c r="G56">
        <v>32519</v>
      </c>
      <c r="H56" t="s">
        <v>1368</v>
      </c>
      <c r="I56" t="s">
        <v>4504</v>
      </c>
      <c r="J56" s="1">
        <v>43436</v>
      </c>
      <c r="K56" t="s">
        <v>4480</v>
      </c>
      <c r="L56">
        <v>7032676391</v>
      </c>
    </row>
    <row r="57" spans="1:12" x14ac:dyDescent="0.3">
      <c r="A57" t="s">
        <v>4610</v>
      </c>
      <c r="B57" t="s">
        <v>4611</v>
      </c>
      <c r="C57" t="s">
        <v>1328</v>
      </c>
      <c r="D57">
        <v>48</v>
      </c>
      <c r="E57" t="s">
        <v>4494</v>
      </c>
      <c r="F57" t="s">
        <v>4495</v>
      </c>
      <c r="G57">
        <v>18412</v>
      </c>
      <c r="H57" t="s">
        <v>1409</v>
      </c>
      <c r="I57" t="s">
        <v>1713</v>
      </c>
      <c r="J57" s="1">
        <v>43751</v>
      </c>
      <c r="K57" t="s">
        <v>4475</v>
      </c>
      <c r="L57">
        <v>6268116868</v>
      </c>
    </row>
    <row r="58" spans="1:12" x14ac:dyDescent="0.3">
      <c r="A58" t="s">
        <v>4612</v>
      </c>
      <c r="B58" t="s">
        <v>4613</v>
      </c>
      <c r="C58" t="s">
        <v>1328</v>
      </c>
      <c r="D58">
        <v>24</v>
      </c>
      <c r="E58" t="s">
        <v>4472</v>
      </c>
      <c r="F58" t="s">
        <v>4614</v>
      </c>
      <c r="G58">
        <v>68278</v>
      </c>
      <c r="H58" t="s">
        <v>4474</v>
      </c>
      <c r="I58" t="s">
        <v>1568</v>
      </c>
      <c r="J58" s="1">
        <v>44020</v>
      </c>
      <c r="K58" t="s">
        <v>4483</v>
      </c>
      <c r="L58">
        <v>6247243214</v>
      </c>
    </row>
    <row r="59" spans="1:12" x14ac:dyDescent="0.3">
      <c r="A59" t="s">
        <v>4615</v>
      </c>
      <c r="B59" t="s">
        <v>4616</v>
      </c>
      <c r="C59" t="s">
        <v>1336</v>
      </c>
      <c r="D59">
        <v>38</v>
      </c>
      <c r="E59" t="s">
        <v>4499</v>
      </c>
      <c r="F59" t="s">
        <v>4585</v>
      </c>
      <c r="G59">
        <v>41429</v>
      </c>
      <c r="H59" t="s">
        <v>1368</v>
      </c>
      <c r="I59" t="s">
        <v>4504</v>
      </c>
      <c r="J59" s="1">
        <v>43393</v>
      </c>
      <c r="K59" t="s">
        <v>4480</v>
      </c>
      <c r="L59">
        <v>6853673829</v>
      </c>
    </row>
    <row r="60" spans="1:12" x14ac:dyDescent="0.3">
      <c r="A60" t="s">
        <v>4617</v>
      </c>
      <c r="B60" t="s">
        <v>4618</v>
      </c>
      <c r="C60" t="s">
        <v>1336</v>
      </c>
      <c r="D60">
        <v>34</v>
      </c>
      <c r="E60" t="s">
        <v>4532</v>
      </c>
      <c r="F60" t="s">
        <v>4533</v>
      </c>
      <c r="G60">
        <v>46545</v>
      </c>
      <c r="H60" t="s">
        <v>1409</v>
      </c>
      <c r="I60" t="s">
        <v>4496</v>
      </c>
      <c r="J60" s="1">
        <v>44934</v>
      </c>
      <c r="K60" t="s">
        <v>4475</v>
      </c>
      <c r="L60">
        <v>8045860722</v>
      </c>
    </row>
    <row r="61" spans="1:12" x14ac:dyDescent="0.3">
      <c r="A61" t="s">
        <v>48</v>
      </c>
      <c r="B61" t="s">
        <v>4619</v>
      </c>
      <c r="C61" t="s">
        <v>1328</v>
      </c>
      <c r="D61">
        <v>41</v>
      </c>
      <c r="E61" t="s">
        <v>4564</v>
      </c>
      <c r="F61" t="s">
        <v>4565</v>
      </c>
      <c r="G61">
        <v>60059</v>
      </c>
      <c r="H61" t="s">
        <v>1409</v>
      </c>
      <c r="I61" t="s">
        <v>1713</v>
      </c>
      <c r="J61" s="1">
        <v>45601</v>
      </c>
      <c r="K61" t="s">
        <v>4475</v>
      </c>
      <c r="L61">
        <v>8375619206</v>
      </c>
    </row>
    <row r="62" spans="1:12" x14ac:dyDescent="0.3">
      <c r="A62" t="s">
        <v>4620</v>
      </c>
      <c r="B62" t="s">
        <v>4621</v>
      </c>
      <c r="C62" t="s">
        <v>1336</v>
      </c>
      <c r="D62">
        <v>22</v>
      </c>
      <c r="E62" t="s">
        <v>4472</v>
      </c>
      <c r="F62" t="s">
        <v>4614</v>
      </c>
      <c r="G62">
        <v>25020</v>
      </c>
      <c r="H62" t="s">
        <v>4488</v>
      </c>
      <c r="I62" t="s">
        <v>4521</v>
      </c>
      <c r="J62" s="1">
        <v>46064</v>
      </c>
      <c r="K62" t="s">
        <v>4475</v>
      </c>
      <c r="L62">
        <v>6628428690</v>
      </c>
    </row>
    <row r="63" spans="1:12" x14ac:dyDescent="0.3">
      <c r="A63" t="s">
        <v>4622</v>
      </c>
      <c r="B63" t="s">
        <v>4623</v>
      </c>
      <c r="C63" t="s">
        <v>1328</v>
      </c>
      <c r="D63">
        <v>21</v>
      </c>
      <c r="E63" t="s">
        <v>4472</v>
      </c>
      <c r="F63" t="s">
        <v>4473</v>
      </c>
      <c r="G63">
        <v>21956</v>
      </c>
      <c r="H63" t="s">
        <v>4474</v>
      </c>
      <c r="I63" t="s">
        <v>1568</v>
      </c>
      <c r="J63" s="1">
        <v>45256</v>
      </c>
      <c r="K63" t="s">
        <v>4483</v>
      </c>
      <c r="L63">
        <v>7444634819</v>
      </c>
    </row>
    <row r="64" spans="1:12" x14ac:dyDescent="0.3">
      <c r="A64" t="s">
        <v>4624</v>
      </c>
      <c r="B64" t="s">
        <v>4625</v>
      </c>
      <c r="C64" t="s">
        <v>1336</v>
      </c>
      <c r="D64">
        <v>40</v>
      </c>
      <c r="E64" t="s">
        <v>4499</v>
      </c>
      <c r="F64" t="s">
        <v>4540</v>
      </c>
      <c r="G64">
        <v>36577</v>
      </c>
      <c r="H64" t="s">
        <v>1368</v>
      </c>
      <c r="I64" t="s">
        <v>4504</v>
      </c>
      <c r="J64" s="1">
        <v>44343</v>
      </c>
      <c r="K64" t="s">
        <v>4475</v>
      </c>
      <c r="L64">
        <v>6145059579</v>
      </c>
    </row>
    <row r="65" spans="1:12" x14ac:dyDescent="0.3">
      <c r="A65" t="s">
        <v>4626</v>
      </c>
      <c r="B65" t="s">
        <v>4627</v>
      </c>
      <c r="C65" t="s">
        <v>1328</v>
      </c>
      <c r="D65">
        <v>26</v>
      </c>
      <c r="E65" t="s">
        <v>4486</v>
      </c>
      <c r="F65" t="s">
        <v>4487</v>
      </c>
      <c r="G65">
        <v>67266</v>
      </c>
      <c r="H65" t="s">
        <v>4474</v>
      </c>
      <c r="I65" t="s">
        <v>1444</v>
      </c>
      <c r="J65" s="1">
        <v>45339</v>
      </c>
      <c r="K65" t="s">
        <v>4480</v>
      </c>
      <c r="L65">
        <v>7148799200</v>
      </c>
    </row>
    <row r="66" spans="1:12" x14ac:dyDescent="0.3">
      <c r="A66" t="s">
        <v>4628</v>
      </c>
      <c r="B66" t="s">
        <v>4629</v>
      </c>
      <c r="C66" t="s">
        <v>1328</v>
      </c>
      <c r="D66">
        <v>21</v>
      </c>
      <c r="E66" t="s">
        <v>4509</v>
      </c>
      <c r="F66" t="s">
        <v>4527</v>
      </c>
      <c r="G66">
        <v>36396</v>
      </c>
      <c r="H66" t="s">
        <v>1409</v>
      </c>
      <c r="I66" t="s">
        <v>4496</v>
      </c>
      <c r="J66" s="1">
        <v>44587</v>
      </c>
      <c r="K66" t="s">
        <v>4475</v>
      </c>
      <c r="L66">
        <v>8648579280</v>
      </c>
    </row>
    <row r="67" spans="1:12" x14ac:dyDescent="0.3">
      <c r="A67" t="s">
        <v>4630</v>
      </c>
      <c r="B67" t="s">
        <v>4631</v>
      </c>
      <c r="C67" t="s">
        <v>1328</v>
      </c>
      <c r="D67">
        <v>47</v>
      </c>
      <c r="E67" t="s">
        <v>4494</v>
      </c>
      <c r="F67" t="s">
        <v>4524</v>
      </c>
      <c r="G67">
        <v>40079</v>
      </c>
      <c r="H67" t="s">
        <v>4474</v>
      </c>
      <c r="I67" t="s">
        <v>1594</v>
      </c>
      <c r="J67" s="1">
        <v>44521</v>
      </c>
      <c r="K67" t="s">
        <v>4483</v>
      </c>
      <c r="L67">
        <v>9046895209</v>
      </c>
    </row>
    <row r="68" spans="1:12" x14ac:dyDescent="0.3">
      <c r="A68" t="s">
        <v>4632</v>
      </c>
      <c r="B68" t="s">
        <v>4633</v>
      </c>
      <c r="C68" t="s">
        <v>1328</v>
      </c>
      <c r="D68">
        <v>43</v>
      </c>
      <c r="E68" t="s">
        <v>4557</v>
      </c>
      <c r="F68" t="s">
        <v>4568</v>
      </c>
      <c r="G68">
        <v>44201</v>
      </c>
      <c r="H68" t="s">
        <v>4474</v>
      </c>
      <c r="I68" t="s">
        <v>1444</v>
      </c>
      <c r="J68" s="1">
        <v>43696</v>
      </c>
      <c r="K68" t="s">
        <v>4480</v>
      </c>
      <c r="L68">
        <v>8940862468</v>
      </c>
    </row>
    <row r="69" spans="1:12" x14ac:dyDescent="0.3">
      <c r="A69" t="s">
        <v>4634</v>
      </c>
      <c r="B69" t="s">
        <v>4635</v>
      </c>
      <c r="C69" t="s">
        <v>1336</v>
      </c>
      <c r="D69">
        <v>26</v>
      </c>
      <c r="E69" t="s">
        <v>4509</v>
      </c>
      <c r="F69" t="s">
        <v>4527</v>
      </c>
      <c r="G69">
        <v>35282</v>
      </c>
      <c r="H69" t="s">
        <v>1409</v>
      </c>
      <c r="I69" t="s">
        <v>1713</v>
      </c>
      <c r="J69" s="1">
        <v>46076</v>
      </c>
      <c r="K69" t="s">
        <v>4483</v>
      </c>
      <c r="L69">
        <v>9908167861</v>
      </c>
    </row>
    <row r="70" spans="1:12" x14ac:dyDescent="0.3">
      <c r="A70" t="s">
        <v>4636</v>
      </c>
      <c r="B70" t="s">
        <v>4637</v>
      </c>
      <c r="C70" t="s">
        <v>1336</v>
      </c>
      <c r="D70">
        <v>30</v>
      </c>
      <c r="E70" t="s">
        <v>4509</v>
      </c>
      <c r="F70" t="s">
        <v>4510</v>
      </c>
      <c r="G70">
        <v>59706</v>
      </c>
      <c r="H70" t="s">
        <v>4474</v>
      </c>
      <c r="I70" t="s">
        <v>1668</v>
      </c>
      <c r="J70" s="1">
        <v>43808</v>
      </c>
      <c r="K70" t="s">
        <v>4475</v>
      </c>
      <c r="L70">
        <v>7876889829</v>
      </c>
    </row>
    <row r="71" spans="1:12" x14ac:dyDescent="0.3">
      <c r="A71" t="s">
        <v>4638</v>
      </c>
      <c r="B71" t="s">
        <v>4639</v>
      </c>
      <c r="C71" t="s">
        <v>1336</v>
      </c>
      <c r="D71">
        <v>50</v>
      </c>
      <c r="E71" t="s">
        <v>4509</v>
      </c>
      <c r="F71" t="s">
        <v>4527</v>
      </c>
      <c r="G71">
        <v>26855</v>
      </c>
      <c r="H71" t="s">
        <v>1409</v>
      </c>
      <c r="I71" t="s">
        <v>4496</v>
      </c>
      <c r="J71" s="1">
        <v>43712</v>
      </c>
      <c r="K71" t="s">
        <v>4475</v>
      </c>
      <c r="L71">
        <v>7971485138</v>
      </c>
    </row>
    <row r="72" spans="1:12" x14ac:dyDescent="0.3">
      <c r="A72" t="s">
        <v>4640</v>
      </c>
      <c r="B72" t="s">
        <v>4641</v>
      </c>
      <c r="C72" t="s">
        <v>1328</v>
      </c>
      <c r="D72">
        <v>45</v>
      </c>
      <c r="E72" t="s">
        <v>4472</v>
      </c>
      <c r="F72" t="s">
        <v>4473</v>
      </c>
      <c r="G72">
        <v>50171</v>
      </c>
      <c r="H72" t="s">
        <v>1409</v>
      </c>
      <c r="I72" t="s">
        <v>1713</v>
      </c>
      <c r="J72" s="1">
        <v>43348</v>
      </c>
      <c r="K72" t="s">
        <v>4480</v>
      </c>
      <c r="L72">
        <v>9553191832</v>
      </c>
    </row>
    <row r="73" spans="1:12" x14ac:dyDescent="0.3">
      <c r="A73" t="s">
        <v>4642</v>
      </c>
      <c r="B73" t="s">
        <v>4643</v>
      </c>
      <c r="C73" t="s">
        <v>1328</v>
      </c>
      <c r="D73">
        <v>25</v>
      </c>
      <c r="E73" t="s">
        <v>4509</v>
      </c>
      <c r="F73" t="s">
        <v>4527</v>
      </c>
      <c r="G73">
        <v>25721</v>
      </c>
      <c r="H73" t="s">
        <v>1368</v>
      </c>
      <c r="I73" t="s">
        <v>4504</v>
      </c>
      <c r="J73" s="1">
        <v>45041</v>
      </c>
      <c r="K73" t="s">
        <v>4480</v>
      </c>
      <c r="L73">
        <v>8799204252</v>
      </c>
    </row>
    <row r="74" spans="1:12" x14ac:dyDescent="0.3">
      <c r="A74" t="s">
        <v>4644</v>
      </c>
      <c r="B74" t="s">
        <v>4645</v>
      </c>
      <c r="C74" t="s">
        <v>1336</v>
      </c>
      <c r="D74">
        <v>40</v>
      </c>
      <c r="E74" t="s">
        <v>4499</v>
      </c>
      <c r="F74" t="s">
        <v>4585</v>
      </c>
      <c r="G74">
        <v>52985</v>
      </c>
      <c r="H74" t="s">
        <v>4488</v>
      </c>
      <c r="I74" t="s">
        <v>1504</v>
      </c>
      <c r="J74" s="1">
        <v>46102</v>
      </c>
      <c r="K74" t="s">
        <v>4480</v>
      </c>
      <c r="L74">
        <v>9404397505</v>
      </c>
    </row>
    <row r="75" spans="1:12" x14ac:dyDescent="0.3">
      <c r="A75" t="s">
        <v>4646</v>
      </c>
      <c r="B75" t="s">
        <v>4647</v>
      </c>
      <c r="C75" t="s">
        <v>1336</v>
      </c>
      <c r="D75">
        <v>39</v>
      </c>
      <c r="E75" t="s">
        <v>4486</v>
      </c>
      <c r="F75" t="s">
        <v>4487</v>
      </c>
      <c r="G75">
        <v>21019</v>
      </c>
      <c r="H75" t="s">
        <v>4488</v>
      </c>
      <c r="I75" t="s">
        <v>4521</v>
      </c>
      <c r="J75" s="1">
        <v>44048</v>
      </c>
      <c r="K75" t="s">
        <v>4475</v>
      </c>
      <c r="L75">
        <v>9720855713</v>
      </c>
    </row>
    <row r="76" spans="1:12" x14ac:dyDescent="0.3">
      <c r="A76" t="s">
        <v>4648</v>
      </c>
      <c r="B76" t="s">
        <v>4649</v>
      </c>
      <c r="C76" t="s">
        <v>1336</v>
      </c>
      <c r="D76">
        <v>48</v>
      </c>
      <c r="E76" t="s">
        <v>4499</v>
      </c>
      <c r="F76" t="s">
        <v>4540</v>
      </c>
      <c r="G76">
        <v>48347</v>
      </c>
      <c r="H76" t="s">
        <v>1409</v>
      </c>
      <c r="I76" t="s">
        <v>1713</v>
      </c>
      <c r="J76" s="1">
        <v>44873</v>
      </c>
      <c r="K76" t="s">
        <v>4480</v>
      </c>
      <c r="L76">
        <v>9126786245</v>
      </c>
    </row>
    <row r="77" spans="1:12" x14ac:dyDescent="0.3">
      <c r="A77" t="s">
        <v>11</v>
      </c>
      <c r="B77" t="s">
        <v>4650</v>
      </c>
      <c r="C77" t="s">
        <v>1328</v>
      </c>
      <c r="D77">
        <v>25</v>
      </c>
      <c r="E77" t="s">
        <v>4564</v>
      </c>
      <c r="F77" t="s">
        <v>4651</v>
      </c>
      <c r="G77">
        <v>50743</v>
      </c>
      <c r="H77" t="s">
        <v>1409</v>
      </c>
      <c r="I77" t="s">
        <v>1713</v>
      </c>
      <c r="J77" s="1">
        <v>44039</v>
      </c>
      <c r="K77" t="s">
        <v>4475</v>
      </c>
      <c r="L77">
        <v>6403653689</v>
      </c>
    </row>
    <row r="78" spans="1:12" x14ac:dyDescent="0.3">
      <c r="A78" t="s">
        <v>4652</v>
      </c>
      <c r="B78" t="s">
        <v>4653</v>
      </c>
      <c r="C78" t="s">
        <v>1328</v>
      </c>
      <c r="D78">
        <v>44</v>
      </c>
      <c r="E78" t="s">
        <v>4509</v>
      </c>
      <c r="F78" t="s">
        <v>4527</v>
      </c>
      <c r="G78">
        <v>18737</v>
      </c>
      <c r="H78" t="s">
        <v>1368</v>
      </c>
      <c r="I78" t="s">
        <v>1637</v>
      </c>
      <c r="J78" s="1">
        <v>45111</v>
      </c>
      <c r="K78" t="s">
        <v>4475</v>
      </c>
      <c r="L78">
        <v>8013133936</v>
      </c>
    </row>
    <row r="79" spans="1:12" x14ac:dyDescent="0.3">
      <c r="A79" t="s">
        <v>4654</v>
      </c>
      <c r="B79" t="s">
        <v>4655</v>
      </c>
      <c r="C79" t="s">
        <v>1336</v>
      </c>
      <c r="D79">
        <v>46</v>
      </c>
      <c r="E79" t="s">
        <v>4509</v>
      </c>
      <c r="F79" t="s">
        <v>4510</v>
      </c>
      <c r="G79">
        <v>28408</v>
      </c>
      <c r="H79" t="s">
        <v>1409</v>
      </c>
      <c r="I79" t="s">
        <v>1713</v>
      </c>
      <c r="J79" s="1">
        <v>45207</v>
      </c>
      <c r="K79" t="s">
        <v>4480</v>
      </c>
      <c r="L79">
        <v>9401503635</v>
      </c>
    </row>
    <row r="80" spans="1:12" x14ac:dyDescent="0.3">
      <c r="A80" t="s">
        <v>4656</v>
      </c>
      <c r="B80" t="s">
        <v>4657</v>
      </c>
      <c r="C80" t="s">
        <v>1328</v>
      </c>
      <c r="D80">
        <v>25</v>
      </c>
      <c r="E80" t="s">
        <v>4494</v>
      </c>
      <c r="F80" t="s">
        <v>4524</v>
      </c>
      <c r="G80">
        <v>37885</v>
      </c>
      <c r="H80" t="s">
        <v>1409</v>
      </c>
      <c r="I80" t="s">
        <v>4496</v>
      </c>
      <c r="J80" s="1">
        <v>45544</v>
      </c>
      <c r="K80" t="s">
        <v>4480</v>
      </c>
      <c r="L80">
        <v>6998429895</v>
      </c>
    </row>
    <row r="81" spans="1:12" x14ac:dyDescent="0.3">
      <c r="A81" t="s">
        <v>4658</v>
      </c>
      <c r="B81" t="s">
        <v>4659</v>
      </c>
      <c r="C81" t="s">
        <v>1328</v>
      </c>
      <c r="D81">
        <v>45</v>
      </c>
      <c r="E81" t="s">
        <v>4557</v>
      </c>
      <c r="F81" t="s">
        <v>4568</v>
      </c>
      <c r="G81">
        <v>43650</v>
      </c>
      <c r="H81" t="s">
        <v>1409</v>
      </c>
      <c r="I81" t="s">
        <v>1713</v>
      </c>
      <c r="J81" s="1">
        <v>45682</v>
      </c>
      <c r="K81" t="s">
        <v>4475</v>
      </c>
      <c r="L81">
        <v>9861778603</v>
      </c>
    </row>
    <row r="82" spans="1:12" x14ac:dyDescent="0.3">
      <c r="A82" t="s">
        <v>4660</v>
      </c>
      <c r="B82" t="s">
        <v>4661</v>
      </c>
      <c r="C82" t="s">
        <v>1328</v>
      </c>
      <c r="D82">
        <v>24</v>
      </c>
      <c r="E82" t="s">
        <v>4557</v>
      </c>
      <c r="F82" t="s">
        <v>4568</v>
      </c>
      <c r="G82">
        <v>36815</v>
      </c>
      <c r="H82" t="s">
        <v>4474</v>
      </c>
      <c r="I82" t="s">
        <v>1568</v>
      </c>
      <c r="J82" s="1">
        <v>44063</v>
      </c>
      <c r="K82" t="s">
        <v>4475</v>
      </c>
      <c r="L82">
        <v>7217641267</v>
      </c>
    </row>
    <row r="83" spans="1:12" x14ac:dyDescent="0.3">
      <c r="A83" t="s">
        <v>4662</v>
      </c>
      <c r="B83" t="s">
        <v>4663</v>
      </c>
      <c r="C83" t="s">
        <v>1328</v>
      </c>
      <c r="D83">
        <v>27</v>
      </c>
      <c r="E83" t="s">
        <v>4532</v>
      </c>
      <c r="F83" t="s">
        <v>4533</v>
      </c>
      <c r="G83">
        <v>65744</v>
      </c>
      <c r="H83" t="s">
        <v>4474</v>
      </c>
      <c r="I83" t="s">
        <v>1568</v>
      </c>
      <c r="J83" s="1">
        <v>43814</v>
      </c>
      <c r="K83" t="s">
        <v>4480</v>
      </c>
      <c r="L83">
        <v>6691245235</v>
      </c>
    </row>
    <row r="84" spans="1:12" x14ac:dyDescent="0.3">
      <c r="A84" t="s">
        <v>4664</v>
      </c>
      <c r="B84" t="s">
        <v>4665</v>
      </c>
      <c r="C84" t="s">
        <v>1336</v>
      </c>
      <c r="D84">
        <v>44</v>
      </c>
      <c r="E84" t="s">
        <v>4532</v>
      </c>
      <c r="F84" t="s">
        <v>4533</v>
      </c>
      <c r="G84">
        <v>17245</v>
      </c>
      <c r="H84" t="s">
        <v>4474</v>
      </c>
      <c r="I84" t="s">
        <v>1568</v>
      </c>
      <c r="J84" s="1">
        <v>44084</v>
      </c>
      <c r="K84" t="s">
        <v>4483</v>
      </c>
      <c r="L84">
        <v>8858540977</v>
      </c>
    </row>
    <row r="85" spans="1:12" x14ac:dyDescent="0.3">
      <c r="A85" t="s">
        <v>4666</v>
      </c>
      <c r="B85" t="s">
        <v>4667</v>
      </c>
      <c r="C85" t="s">
        <v>1328</v>
      </c>
      <c r="D85">
        <v>43</v>
      </c>
      <c r="E85" t="s">
        <v>4478</v>
      </c>
      <c r="F85" t="s">
        <v>4503</v>
      </c>
      <c r="G85">
        <v>45709</v>
      </c>
      <c r="H85" t="s">
        <v>1409</v>
      </c>
      <c r="I85" t="s">
        <v>1713</v>
      </c>
      <c r="J85" s="1">
        <v>46099</v>
      </c>
      <c r="K85" t="s">
        <v>4483</v>
      </c>
      <c r="L85">
        <v>9849311972</v>
      </c>
    </row>
    <row r="86" spans="1:12" x14ac:dyDescent="0.3">
      <c r="A86" t="s">
        <v>4668</v>
      </c>
      <c r="B86" t="s">
        <v>4669</v>
      </c>
      <c r="C86" t="s">
        <v>1336</v>
      </c>
      <c r="D86">
        <v>31</v>
      </c>
      <c r="E86" t="s">
        <v>4472</v>
      </c>
      <c r="F86" t="s">
        <v>4614</v>
      </c>
      <c r="G86">
        <v>51379</v>
      </c>
      <c r="H86" t="s">
        <v>1368</v>
      </c>
      <c r="I86" t="s">
        <v>4504</v>
      </c>
      <c r="J86" s="1">
        <v>44699</v>
      </c>
      <c r="K86" t="s">
        <v>4475</v>
      </c>
      <c r="L86">
        <v>7600434169</v>
      </c>
    </row>
    <row r="87" spans="1:12" x14ac:dyDescent="0.3">
      <c r="A87" t="s">
        <v>4670</v>
      </c>
      <c r="B87" t="s">
        <v>4671</v>
      </c>
      <c r="C87" t="s">
        <v>1328</v>
      </c>
      <c r="D87">
        <v>23</v>
      </c>
      <c r="E87" t="s">
        <v>4513</v>
      </c>
      <c r="F87" t="s">
        <v>4514</v>
      </c>
      <c r="G87">
        <v>65904</v>
      </c>
      <c r="H87" t="s">
        <v>1368</v>
      </c>
      <c r="I87" t="s">
        <v>4504</v>
      </c>
      <c r="J87" s="1">
        <v>45794</v>
      </c>
      <c r="K87" t="s">
        <v>4483</v>
      </c>
      <c r="L87">
        <v>9558248527</v>
      </c>
    </row>
    <row r="88" spans="1:12" x14ac:dyDescent="0.3">
      <c r="A88" t="s">
        <v>19</v>
      </c>
      <c r="B88" t="s">
        <v>4672</v>
      </c>
      <c r="C88" t="s">
        <v>1328</v>
      </c>
      <c r="D88">
        <v>50</v>
      </c>
      <c r="E88" t="s">
        <v>4564</v>
      </c>
      <c r="F88" t="s">
        <v>4651</v>
      </c>
      <c r="G88">
        <v>66549</v>
      </c>
      <c r="H88" t="s">
        <v>1409</v>
      </c>
      <c r="I88" t="s">
        <v>4496</v>
      </c>
      <c r="J88" s="1">
        <v>45390</v>
      </c>
      <c r="K88" t="s">
        <v>4480</v>
      </c>
      <c r="L88">
        <v>9654965408</v>
      </c>
    </row>
    <row r="89" spans="1:12" x14ac:dyDescent="0.3">
      <c r="A89" t="s">
        <v>4673</v>
      </c>
      <c r="B89" t="s">
        <v>4674</v>
      </c>
      <c r="C89" t="s">
        <v>1336</v>
      </c>
      <c r="D89">
        <v>36</v>
      </c>
      <c r="E89" t="s">
        <v>4532</v>
      </c>
      <c r="F89" t="s">
        <v>4533</v>
      </c>
      <c r="G89">
        <v>34727</v>
      </c>
      <c r="H89" t="s">
        <v>4488</v>
      </c>
      <c r="I89" t="s">
        <v>4521</v>
      </c>
      <c r="J89" s="1">
        <v>44239</v>
      </c>
      <c r="K89" t="s">
        <v>4483</v>
      </c>
      <c r="L89">
        <v>9579539591</v>
      </c>
    </row>
    <row r="90" spans="1:12" x14ac:dyDescent="0.3">
      <c r="A90" t="s">
        <v>4675</v>
      </c>
      <c r="B90" t="s">
        <v>4676</v>
      </c>
      <c r="C90" t="s">
        <v>1336</v>
      </c>
      <c r="D90">
        <v>37</v>
      </c>
      <c r="E90" t="s">
        <v>4557</v>
      </c>
      <c r="F90" t="s">
        <v>4558</v>
      </c>
      <c r="G90">
        <v>26335</v>
      </c>
      <c r="H90" t="s">
        <v>1368</v>
      </c>
      <c r="I90" t="s">
        <v>1637</v>
      </c>
      <c r="J90" s="1">
        <v>43688</v>
      </c>
      <c r="K90" t="s">
        <v>4483</v>
      </c>
      <c r="L90">
        <v>8038504807</v>
      </c>
    </row>
    <row r="91" spans="1:12" x14ac:dyDescent="0.3">
      <c r="A91" t="s">
        <v>4677</v>
      </c>
      <c r="B91" t="s">
        <v>4678</v>
      </c>
      <c r="C91" t="s">
        <v>1328</v>
      </c>
      <c r="D91">
        <v>50</v>
      </c>
      <c r="E91" t="s">
        <v>4472</v>
      </c>
      <c r="F91" t="s">
        <v>4614</v>
      </c>
      <c r="G91">
        <v>24411</v>
      </c>
      <c r="H91" t="s">
        <v>4488</v>
      </c>
      <c r="I91" t="s">
        <v>4521</v>
      </c>
      <c r="J91" s="1">
        <v>44345</v>
      </c>
      <c r="K91" t="s">
        <v>4483</v>
      </c>
      <c r="L91">
        <v>6727551590</v>
      </c>
    </row>
    <row r="92" spans="1:12" x14ac:dyDescent="0.3">
      <c r="A92" t="s">
        <v>4679</v>
      </c>
      <c r="B92" t="s">
        <v>4680</v>
      </c>
      <c r="C92" t="s">
        <v>1328</v>
      </c>
      <c r="D92">
        <v>33</v>
      </c>
      <c r="E92" t="s">
        <v>4499</v>
      </c>
      <c r="F92" t="s">
        <v>4500</v>
      </c>
      <c r="G92">
        <v>33917</v>
      </c>
      <c r="H92" t="s">
        <v>4474</v>
      </c>
      <c r="I92" t="s">
        <v>1568</v>
      </c>
      <c r="J92" s="1">
        <v>44373</v>
      </c>
      <c r="K92" t="s">
        <v>4480</v>
      </c>
      <c r="L92">
        <v>9417836692</v>
      </c>
    </row>
    <row r="93" spans="1:12" x14ac:dyDescent="0.3">
      <c r="A93" t="s">
        <v>4681</v>
      </c>
      <c r="B93" t="s">
        <v>4682</v>
      </c>
      <c r="C93" t="s">
        <v>1328</v>
      </c>
      <c r="D93">
        <v>39</v>
      </c>
      <c r="E93" t="s">
        <v>4532</v>
      </c>
      <c r="F93" t="s">
        <v>4533</v>
      </c>
      <c r="G93">
        <v>47667</v>
      </c>
      <c r="H93" t="s">
        <v>1368</v>
      </c>
      <c r="I93" t="s">
        <v>4504</v>
      </c>
      <c r="J93" s="1">
        <v>44670</v>
      </c>
      <c r="K93" t="s">
        <v>4475</v>
      </c>
      <c r="L93">
        <v>9476316111</v>
      </c>
    </row>
    <row r="94" spans="1:12" x14ac:dyDescent="0.3">
      <c r="A94" t="s">
        <v>4683</v>
      </c>
      <c r="B94" t="s">
        <v>4684</v>
      </c>
      <c r="C94" t="s">
        <v>1328</v>
      </c>
      <c r="D94">
        <v>29</v>
      </c>
      <c r="E94" t="s">
        <v>4499</v>
      </c>
      <c r="F94" t="s">
        <v>4500</v>
      </c>
      <c r="G94">
        <v>32049</v>
      </c>
      <c r="H94" t="s">
        <v>4474</v>
      </c>
      <c r="I94" t="s">
        <v>1568</v>
      </c>
      <c r="J94" s="1">
        <v>46121</v>
      </c>
      <c r="K94" t="s">
        <v>4475</v>
      </c>
      <c r="L94">
        <v>8772255197</v>
      </c>
    </row>
    <row r="95" spans="1:12" x14ac:dyDescent="0.3">
      <c r="A95" t="s">
        <v>4685</v>
      </c>
      <c r="B95" t="s">
        <v>4686</v>
      </c>
      <c r="C95" t="s">
        <v>1328</v>
      </c>
      <c r="D95">
        <v>20</v>
      </c>
      <c r="E95" t="s">
        <v>4532</v>
      </c>
      <c r="F95" t="s">
        <v>4533</v>
      </c>
      <c r="G95">
        <v>30979</v>
      </c>
      <c r="H95" t="s">
        <v>4488</v>
      </c>
      <c r="I95" t="s">
        <v>1504</v>
      </c>
      <c r="J95" s="1">
        <v>43908</v>
      </c>
      <c r="K95" t="s">
        <v>4475</v>
      </c>
      <c r="L95">
        <v>8642646919</v>
      </c>
    </row>
    <row r="96" spans="1:12" x14ac:dyDescent="0.3">
      <c r="A96" t="s">
        <v>26</v>
      </c>
      <c r="B96" t="s">
        <v>4687</v>
      </c>
      <c r="C96" t="s">
        <v>1336</v>
      </c>
      <c r="D96">
        <v>38</v>
      </c>
      <c r="E96" t="s">
        <v>4564</v>
      </c>
      <c r="F96" t="s">
        <v>4651</v>
      </c>
      <c r="G96">
        <v>20382</v>
      </c>
      <c r="H96" t="s">
        <v>4488</v>
      </c>
      <c r="I96" t="s">
        <v>1504</v>
      </c>
      <c r="J96" s="1">
        <v>43399</v>
      </c>
      <c r="K96" t="s">
        <v>4483</v>
      </c>
      <c r="L96">
        <v>8006563778</v>
      </c>
    </row>
    <row r="97" spans="1:12" x14ac:dyDescent="0.3">
      <c r="A97" t="s">
        <v>4688</v>
      </c>
      <c r="B97" t="s">
        <v>4689</v>
      </c>
      <c r="C97" t="s">
        <v>1328</v>
      </c>
      <c r="D97">
        <v>30</v>
      </c>
      <c r="E97" t="s">
        <v>4557</v>
      </c>
      <c r="F97" t="s">
        <v>4558</v>
      </c>
      <c r="G97">
        <v>36959</v>
      </c>
      <c r="H97" t="s">
        <v>4488</v>
      </c>
      <c r="I97" t="s">
        <v>1504</v>
      </c>
      <c r="J97" s="1">
        <v>44554</v>
      </c>
      <c r="K97" t="s">
        <v>4483</v>
      </c>
      <c r="L97">
        <v>7495239305</v>
      </c>
    </row>
    <row r="98" spans="1:12" x14ac:dyDescent="0.3">
      <c r="A98" t="s">
        <v>4690</v>
      </c>
      <c r="B98" t="s">
        <v>4691</v>
      </c>
      <c r="C98" t="s">
        <v>1328</v>
      </c>
      <c r="D98">
        <v>33</v>
      </c>
      <c r="E98" t="s">
        <v>4486</v>
      </c>
      <c r="F98" t="s">
        <v>4491</v>
      </c>
      <c r="G98">
        <v>27845</v>
      </c>
      <c r="H98" t="s">
        <v>4474</v>
      </c>
      <c r="I98" t="s">
        <v>1668</v>
      </c>
      <c r="J98" s="1">
        <v>44409</v>
      </c>
      <c r="K98" t="s">
        <v>4475</v>
      </c>
      <c r="L98">
        <v>6680475399</v>
      </c>
    </row>
    <row r="99" spans="1:12" x14ac:dyDescent="0.3">
      <c r="A99" t="s">
        <v>4692</v>
      </c>
      <c r="B99" t="s">
        <v>4693</v>
      </c>
      <c r="C99" t="s">
        <v>1328</v>
      </c>
      <c r="D99">
        <v>41</v>
      </c>
      <c r="E99" t="s">
        <v>4499</v>
      </c>
      <c r="F99" t="s">
        <v>4585</v>
      </c>
      <c r="G99">
        <v>46999</v>
      </c>
      <c r="H99" t="s">
        <v>4474</v>
      </c>
      <c r="I99" t="s">
        <v>1594</v>
      </c>
      <c r="J99" s="1">
        <v>43808</v>
      </c>
      <c r="K99" t="s">
        <v>4475</v>
      </c>
      <c r="L99">
        <v>9855825375</v>
      </c>
    </row>
    <row r="100" spans="1:12" x14ac:dyDescent="0.3">
      <c r="A100" t="s">
        <v>4694</v>
      </c>
      <c r="B100" t="s">
        <v>4695</v>
      </c>
      <c r="C100" t="s">
        <v>1328</v>
      </c>
      <c r="D100">
        <v>23</v>
      </c>
      <c r="E100" t="s">
        <v>4472</v>
      </c>
      <c r="F100" t="s">
        <v>4473</v>
      </c>
      <c r="G100">
        <v>60702</v>
      </c>
      <c r="H100" t="s">
        <v>1409</v>
      </c>
      <c r="I100" t="s">
        <v>4496</v>
      </c>
      <c r="J100" s="1">
        <v>45336</v>
      </c>
      <c r="K100" t="s">
        <v>4475</v>
      </c>
      <c r="L100">
        <v>8082868307</v>
      </c>
    </row>
    <row r="101" spans="1:12" x14ac:dyDescent="0.3">
      <c r="A101" t="s">
        <v>4696</v>
      </c>
      <c r="B101" t="s">
        <v>4697</v>
      </c>
      <c r="C101" t="s">
        <v>1328</v>
      </c>
      <c r="D101">
        <v>30</v>
      </c>
      <c r="E101" t="s">
        <v>4532</v>
      </c>
      <c r="F101" t="s">
        <v>4533</v>
      </c>
      <c r="G101">
        <v>51850</v>
      </c>
      <c r="H101" t="s">
        <v>1368</v>
      </c>
      <c r="I101" t="s">
        <v>1637</v>
      </c>
      <c r="J101" s="1">
        <v>43509</v>
      </c>
      <c r="K101" t="s">
        <v>4483</v>
      </c>
      <c r="L101">
        <v>8286440948</v>
      </c>
    </row>
    <row r="102" spans="1:12" x14ac:dyDescent="0.3">
      <c r="A102" t="s">
        <v>4698</v>
      </c>
      <c r="B102" t="s">
        <v>4699</v>
      </c>
      <c r="C102" t="s">
        <v>1336</v>
      </c>
      <c r="D102">
        <v>31</v>
      </c>
      <c r="E102" t="s">
        <v>4509</v>
      </c>
      <c r="F102" t="s">
        <v>4510</v>
      </c>
      <c r="G102">
        <v>26017</v>
      </c>
      <c r="H102" t="s">
        <v>1368</v>
      </c>
      <c r="I102" t="s">
        <v>1637</v>
      </c>
      <c r="J102" s="1">
        <v>44257</v>
      </c>
      <c r="K102" t="s">
        <v>4480</v>
      </c>
      <c r="L102">
        <v>6934819506</v>
      </c>
    </row>
    <row r="103" spans="1:12" x14ac:dyDescent="0.3">
      <c r="A103" t="s">
        <v>4700</v>
      </c>
      <c r="B103" t="s">
        <v>4701</v>
      </c>
      <c r="C103" t="s">
        <v>1336</v>
      </c>
      <c r="D103">
        <v>32</v>
      </c>
      <c r="E103" t="s">
        <v>4499</v>
      </c>
      <c r="F103" t="s">
        <v>4585</v>
      </c>
      <c r="G103">
        <v>48955</v>
      </c>
      <c r="H103" t="s">
        <v>1409</v>
      </c>
      <c r="I103" t="s">
        <v>4496</v>
      </c>
      <c r="J103" s="1">
        <v>46029</v>
      </c>
      <c r="K103" t="s">
        <v>4483</v>
      </c>
      <c r="L103">
        <v>9843968950</v>
      </c>
    </row>
    <row r="104" spans="1:12" x14ac:dyDescent="0.3">
      <c r="A104" t="s">
        <v>4702</v>
      </c>
      <c r="B104" t="s">
        <v>4703</v>
      </c>
      <c r="C104" t="s">
        <v>1336</v>
      </c>
      <c r="D104">
        <v>36</v>
      </c>
      <c r="E104" t="s">
        <v>4472</v>
      </c>
      <c r="F104" t="s">
        <v>4614</v>
      </c>
      <c r="G104">
        <v>40959</v>
      </c>
      <c r="H104" t="s">
        <v>4488</v>
      </c>
      <c r="I104" t="s">
        <v>1504</v>
      </c>
      <c r="J104" s="1">
        <v>44022</v>
      </c>
      <c r="K104" t="s">
        <v>4480</v>
      </c>
      <c r="L104">
        <v>8780208254</v>
      </c>
    </row>
    <row r="105" spans="1:12" x14ac:dyDescent="0.3">
      <c r="A105" t="s">
        <v>4704</v>
      </c>
      <c r="B105" t="s">
        <v>4705</v>
      </c>
      <c r="C105" t="s">
        <v>1336</v>
      </c>
      <c r="D105">
        <v>37</v>
      </c>
      <c r="E105" t="s">
        <v>4478</v>
      </c>
      <c r="F105" t="s">
        <v>4503</v>
      </c>
      <c r="G105">
        <v>67382</v>
      </c>
      <c r="H105" t="s">
        <v>4474</v>
      </c>
      <c r="I105" t="s">
        <v>1444</v>
      </c>
      <c r="J105" s="1">
        <v>44350</v>
      </c>
      <c r="K105" t="s">
        <v>4480</v>
      </c>
      <c r="L105">
        <v>8287148919</v>
      </c>
    </row>
    <row r="106" spans="1:12" x14ac:dyDescent="0.3">
      <c r="A106" t="s">
        <v>4706</v>
      </c>
      <c r="B106" t="s">
        <v>4707</v>
      </c>
      <c r="C106" t="s">
        <v>1328</v>
      </c>
      <c r="D106">
        <v>34</v>
      </c>
      <c r="E106" t="s">
        <v>4557</v>
      </c>
      <c r="F106" t="s">
        <v>4558</v>
      </c>
      <c r="G106">
        <v>58029</v>
      </c>
      <c r="H106" t="s">
        <v>4474</v>
      </c>
      <c r="I106" t="s">
        <v>1568</v>
      </c>
      <c r="J106" s="1">
        <v>46121</v>
      </c>
      <c r="K106" t="s">
        <v>4480</v>
      </c>
      <c r="L106">
        <v>8872778675</v>
      </c>
    </row>
    <row r="107" spans="1:12" x14ac:dyDescent="0.3">
      <c r="A107" t="s">
        <v>4708</v>
      </c>
      <c r="B107" t="s">
        <v>4709</v>
      </c>
      <c r="C107" t="s">
        <v>1328</v>
      </c>
      <c r="D107">
        <v>43</v>
      </c>
      <c r="E107" t="s">
        <v>4494</v>
      </c>
      <c r="F107" t="s">
        <v>4524</v>
      </c>
      <c r="G107">
        <v>38406</v>
      </c>
      <c r="H107" t="s">
        <v>1368</v>
      </c>
      <c r="I107" t="s">
        <v>1637</v>
      </c>
      <c r="J107" s="1">
        <v>43846</v>
      </c>
      <c r="K107" t="s">
        <v>4475</v>
      </c>
      <c r="L107">
        <v>8279937675</v>
      </c>
    </row>
    <row r="108" spans="1:12" x14ac:dyDescent="0.3">
      <c r="A108" t="s">
        <v>4710</v>
      </c>
      <c r="B108" t="s">
        <v>4711</v>
      </c>
      <c r="C108" t="s">
        <v>1336</v>
      </c>
      <c r="D108">
        <v>24</v>
      </c>
      <c r="E108" t="s">
        <v>4486</v>
      </c>
      <c r="F108" t="s">
        <v>4491</v>
      </c>
      <c r="G108">
        <v>24899</v>
      </c>
      <c r="H108" t="s">
        <v>4474</v>
      </c>
      <c r="I108" t="s">
        <v>1594</v>
      </c>
      <c r="J108" s="1">
        <v>44650</v>
      </c>
      <c r="K108" t="s">
        <v>4483</v>
      </c>
      <c r="L108">
        <v>8306375215</v>
      </c>
    </row>
    <row r="109" spans="1:12" x14ac:dyDescent="0.3">
      <c r="A109" t="s">
        <v>4712</v>
      </c>
      <c r="B109" t="s">
        <v>4713</v>
      </c>
      <c r="C109" t="s">
        <v>1336</v>
      </c>
      <c r="D109">
        <v>34</v>
      </c>
      <c r="E109" t="s">
        <v>4509</v>
      </c>
      <c r="F109" t="s">
        <v>4510</v>
      </c>
      <c r="G109">
        <v>39920</v>
      </c>
      <c r="H109" t="s">
        <v>4474</v>
      </c>
      <c r="I109" t="s">
        <v>1594</v>
      </c>
      <c r="J109" s="1">
        <v>43676</v>
      </c>
      <c r="K109" t="s">
        <v>4480</v>
      </c>
      <c r="L109">
        <v>7789139524</v>
      </c>
    </row>
    <row r="110" spans="1:12" x14ac:dyDescent="0.3">
      <c r="A110" t="s">
        <v>4714</v>
      </c>
      <c r="B110" t="s">
        <v>4715</v>
      </c>
      <c r="C110" t="s">
        <v>1328</v>
      </c>
      <c r="D110">
        <v>41</v>
      </c>
      <c r="E110" t="s">
        <v>4494</v>
      </c>
      <c r="F110" t="s">
        <v>4524</v>
      </c>
      <c r="G110">
        <v>51289</v>
      </c>
      <c r="H110" t="s">
        <v>1368</v>
      </c>
      <c r="I110" t="s">
        <v>1637</v>
      </c>
      <c r="J110" s="1">
        <v>44370</v>
      </c>
      <c r="K110" t="s">
        <v>4480</v>
      </c>
      <c r="L110">
        <v>9051712232</v>
      </c>
    </row>
    <row r="111" spans="1:12" x14ac:dyDescent="0.3">
      <c r="A111" t="s">
        <v>4716</v>
      </c>
      <c r="B111" t="s">
        <v>4717</v>
      </c>
      <c r="C111" t="s">
        <v>1336</v>
      </c>
      <c r="D111">
        <v>46</v>
      </c>
      <c r="E111" t="s">
        <v>4509</v>
      </c>
      <c r="F111" t="s">
        <v>4527</v>
      </c>
      <c r="G111">
        <v>65689</v>
      </c>
      <c r="H111" t="s">
        <v>4474</v>
      </c>
      <c r="I111" t="s">
        <v>1668</v>
      </c>
      <c r="J111" s="1">
        <v>45561</v>
      </c>
      <c r="K111" t="s">
        <v>4475</v>
      </c>
      <c r="L111">
        <v>8149696373</v>
      </c>
    </row>
    <row r="112" spans="1:12" x14ac:dyDescent="0.3">
      <c r="A112" t="s">
        <v>4718</v>
      </c>
      <c r="B112" t="s">
        <v>4719</v>
      </c>
      <c r="C112" t="s">
        <v>1336</v>
      </c>
      <c r="D112">
        <v>49</v>
      </c>
      <c r="E112" t="s">
        <v>4557</v>
      </c>
      <c r="F112" t="s">
        <v>4568</v>
      </c>
      <c r="G112">
        <v>61960</v>
      </c>
      <c r="H112" t="s">
        <v>1409</v>
      </c>
      <c r="I112" t="s">
        <v>4496</v>
      </c>
      <c r="J112" s="1">
        <v>45621</v>
      </c>
      <c r="K112" t="s">
        <v>4480</v>
      </c>
      <c r="L112">
        <v>9884547543</v>
      </c>
    </row>
    <row r="113" spans="1:12" x14ac:dyDescent="0.3">
      <c r="A113" t="s">
        <v>4720</v>
      </c>
      <c r="B113" t="s">
        <v>4721</v>
      </c>
      <c r="C113" t="s">
        <v>1328</v>
      </c>
      <c r="D113">
        <v>37</v>
      </c>
      <c r="E113" t="s">
        <v>4472</v>
      </c>
      <c r="F113" t="s">
        <v>4473</v>
      </c>
      <c r="G113">
        <v>17848</v>
      </c>
      <c r="H113" t="s">
        <v>4488</v>
      </c>
      <c r="I113" t="s">
        <v>1504</v>
      </c>
      <c r="J113" s="1">
        <v>45344</v>
      </c>
      <c r="K113" t="s">
        <v>4480</v>
      </c>
      <c r="L113">
        <v>7393210979</v>
      </c>
    </row>
    <row r="114" spans="1:12" x14ac:dyDescent="0.3">
      <c r="A114" t="s">
        <v>4722</v>
      </c>
      <c r="B114" t="s">
        <v>4723</v>
      </c>
      <c r="C114" t="s">
        <v>1328</v>
      </c>
      <c r="D114">
        <v>49</v>
      </c>
      <c r="E114" t="s">
        <v>4513</v>
      </c>
      <c r="F114" t="s">
        <v>4514</v>
      </c>
      <c r="G114">
        <v>40902</v>
      </c>
      <c r="H114" t="s">
        <v>1409</v>
      </c>
      <c r="I114" t="s">
        <v>4496</v>
      </c>
      <c r="J114" s="1">
        <v>44050</v>
      </c>
      <c r="K114" t="s">
        <v>4480</v>
      </c>
      <c r="L114">
        <v>9773240051</v>
      </c>
    </row>
    <row r="115" spans="1:12" x14ac:dyDescent="0.3">
      <c r="A115" t="s">
        <v>4724</v>
      </c>
      <c r="B115" t="s">
        <v>4725</v>
      </c>
      <c r="C115" t="s">
        <v>1328</v>
      </c>
      <c r="D115">
        <v>41</v>
      </c>
      <c r="E115" t="s">
        <v>4557</v>
      </c>
      <c r="F115" t="s">
        <v>4558</v>
      </c>
      <c r="G115">
        <v>31075</v>
      </c>
      <c r="H115" t="s">
        <v>4488</v>
      </c>
      <c r="I115" t="s">
        <v>1504</v>
      </c>
      <c r="J115" s="1">
        <v>45014</v>
      </c>
      <c r="K115" t="s">
        <v>4480</v>
      </c>
      <c r="L115">
        <v>8737231869</v>
      </c>
    </row>
    <row r="116" spans="1:12" x14ac:dyDescent="0.3">
      <c r="A116" t="s">
        <v>4726</v>
      </c>
      <c r="B116" t="s">
        <v>4727</v>
      </c>
      <c r="C116" t="s">
        <v>1336</v>
      </c>
      <c r="D116">
        <v>33</v>
      </c>
      <c r="E116" t="s">
        <v>4499</v>
      </c>
      <c r="F116" t="s">
        <v>4585</v>
      </c>
      <c r="G116">
        <v>35123</v>
      </c>
      <c r="H116" t="s">
        <v>1409</v>
      </c>
      <c r="I116" t="s">
        <v>4496</v>
      </c>
      <c r="J116" s="1">
        <v>44316</v>
      </c>
      <c r="K116" t="s">
        <v>4475</v>
      </c>
      <c r="L116">
        <v>9300687467</v>
      </c>
    </row>
    <row r="117" spans="1:12" x14ac:dyDescent="0.3">
      <c r="A117" t="s">
        <v>4728</v>
      </c>
      <c r="B117" t="s">
        <v>4729</v>
      </c>
      <c r="C117" t="s">
        <v>1336</v>
      </c>
      <c r="D117">
        <v>37</v>
      </c>
      <c r="E117" t="s">
        <v>4478</v>
      </c>
      <c r="F117" t="s">
        <v>4479</v>
      </c>
      <c r="G117">
        <v>67025</v>
      </c>
      <c r="H117" t="s">
        <v>4474</v>
      </c>
      <c r="I117" t="s">
        <v>1668</v>
      </c>
      <c r="J117" s="1">
        <v>43972</v>
      </c>
      <c r="K117" t="s">
        <v>4475</v>
      </c>
      <c r="L117">
        <v>9883673311</v>
      </c>
    </row>
    <row r="118" spans="1:12" x14ac:dyDescent="0.3">
      <c r="A118" t="s">
        <v>4730</v>
      </c>
      <c r="B118" t="s">
        <v>4731</v>
      </c>
      <c r="C118" t="s">
        <v>1336</v>
      </c>
      <c r="D118">
        <v>49</v>
      </c>
      <c r="E118" t="s">
        <v>4509</v>
      </c>
      <c r="F118" t="s">
        <v>4510</v>
      </c>
      <c r="G118">
        <v>64062</v>
      </c>
      <c r="H118" t="s">
        <v>1409</v>
      </c>
      <c r="I118" t="s">
        <v>4496</v>
      </c>
      <c r="J118" s="1">
        <v>44547</v>
      </c>
      <c r="K118" t="s">
        <v>4475</v>
      </c>
      <c r="L118">
        <v>9844075380</v>
      </c>
    </row>
    <row r="119" spans="1:12" x14ac:dyDescent="0.3">
      <c r="A119" t="s">
        <v>4732</v>
      </c>
      <c r="B119" t="s">
        <v>4733</v>
      </c>
      <c r="C119" t="s">
        <v>1336</v>
      </c>
      <c r="D119">
        <v>24</v>
      </c>
      <c r="E119" t="s">
        <v>4557</v>
      </c>
      <c r="F119" t="s">
        <v>4568</v>
      </c>
      <c r="G119">
        <v>56461</v>
      </c>
      <c r="H119" t="s">
        <v>1368</v>
      </c>
      <c r="I119" t="s">
        <v>4504</v>
      </c>
      <c r="J119" s="1">
        <v>45475</v>
      </c>
      <c r="K119" t="s">
        <v>4483</v>
      </c>
      <c r="L119">
        <v>8804757646</v>
      </c>
    </row>
    <row r="120" spans="1:12" x14ac:dyDescent="0.3">
      <c r="A120" t="s">
        <v>4734</v>
      </c>
      <c r="B120" t="s">
        <v>4735</v>
      </c>
      <c r="C120" t="s">
        <v>1336</v>
      </c>
      <c r="D120">
        <v>39</v>
      </c>
      <c r="E120" t="s">
        <v>4486</v>
      </c>
      <c r="F120" t="s">
        <v>4491</v>
      </c>
      <c r="G120">
        <v>34943</v>
      </c>
      <c r="H120" t="s">
        <v>1368</v>
      </c>
      <c r="I120" t="s">
        <v>1637</v>
      </c>
      <c r="J120" s="1">
        <v>45268</v>
      </c>
      <c r="K120" t="s">
        <v>4483</v>
      </c>
      <c r="L120">
        <v>7402999843</v>
      </c>
    </row>
    <row r="121" spans="1:12" x14ac:dyDescent="0.3">
      <c r="A121" t="s">
        <v>4736</v>
      </c>
      <c r="B121" t="s">
        <v>4737</v>
      </c>
      <c r="C121" t="s">
        <v>1328</v>
      </c>
      <c r="D121">
        <v>40</v>
      </c>
      <c r="E121" t="s">
        <v>4532</v>
      </c>
      <c r="F121" t="s">
        <v>4533</v>
      </c>
      <c r="G121">
        <v>69368</v>
      </c>
      <c r="H121" t="s">
        <v>1368</v>
      </c>
      <c r="I121" t="s">
        <v>4504</v>
      </c>
      <c r="J121" s="1">
        <v>44720</v>
      </c>
      <c r="K121" t="s">
        <v>4483</v>
      </c>
      <c r="L121">
        <v>9202096664</v>
      </c>
    </row>
    <row r="122" spans="1:12" x14ac:dyDescent="0.3">
      <c r="A122" t="s">
        <v>4738</v>
      </c>
      <c r="B122" t="s">
        <v>4739</v>
      </c>
      <c r="C122" t="s">
        <v>1328</v>
      </c>
      <c r="D122">
        <v>44</v>
      </c>
      <c r="E122" t="s">
        <v>4494</v>
      </c>
      <c r="F122" t="s">
        <v>4524</v>
      </c>
      <c r="G122">
        <v>45472</v>
      </c>
      <c r="H122" t="s">
        <v>1409</v>
      </c>
      <c r="I122" t="s">
        <v>1713</v>
      </c>
      <c r="J122" s="1">
        <v>46159</v>
      </c>
      <c r="K122" t="s">
        <v>4475</v>
      </c>
      <c r="L122">
        <v>6706689222</v>
      </c>
    </row>
    <row r="123" spans="1:12" x14ac:dyDescent="0.3">
      <c r="A123" t="s">
        <v>4740</v>
      </c>
      <c r="B123" t="s">
        <v>4741</v>
      </c>
      <c r="C123" t="s">
        <v>1328</v>
      </c>
      <c r="D123">
        <v>45</v>
      </c>
      <c r="E123" t="s">
        <v>4494</v>
      </c>
      <c r="F123" t="s">
        <v>4495</v>
      </c>
      <c r="G123">
        <v>52037</v>
      </c>
      <c r="H123" t="s">
        <v>1368</v>
      </c>
      <c r="I123" t="s">
        <v>1637</v>
      </c>
      <c r="J123" s="1">
        <v>45098</v>
      </c>
      <c r="K123" t="s">
        <v>4483</v>
      </c>
      <c r="L123">
        <v>8043113904</v>
      </c>
    </row>
    <row r="124" spans="1:12" x14ac:dyDescent="0.3">
      <c r="A124" t="s">
        <v>37</v>
      </c>
      <c r="B124" t="s">
        <v>4742</v>
      </c>
      <c r="C124" t="s">
        <v>1336</v>
      </c>
      <c r="D124">
        <v>42</v>
      </c>
      <c r="E124" t="s">
        <v>4564</v>
      </c>
      <c r="F124" t="s">
        <v>4565</v>
      </c>
      <c r="G124">
        <v>38298</v>
      </c>
      <c r="H124" t="s">
        <v>1368</v>
      </c>
      <c r="I124" t="s">
        <v>1637</v>
      </c>
      <c r="J124" s="1">
        <v>45180</v>
      </c>
      <c r="K124" t="s">
        <v>4480</v>
      </c>
      <c r="L124">
        <v>7341867270</v>
      </c>
    </row>
    <row r="125" spans="1:12" x14ac:dyDescent="0.3">
      <c r="A125" t="s">
        <v>4743</v>
      </c>
      <c r="B125" t="s">
        <v>4744</v>
      </c>
      <c r="C125" t="s">
        <v>1336</v>
      </c>
      <c r="D125">
        <v>20</v>
      </c>
      <c r="E125" t="s">
        <v>4513</v>
      </c>
      <c r="F125" t="s">
        <v>4514</v>
      </c>
      <c r="G125">
        <v>53366</v>
      </c>
      <c r="H125" t="s">
        <v>1409</v>
      </c>
      <c r="I125" t="s">
        <v>4496</v>
      </c>
      <c r="J125" s="1">
        <v>43674</v>
      </c>
      <c r="K125" t="s">
        <v>4480</v>
      </c>
      <c r="L125">
        <v>6939985172</v>
      </c>
    </row>
    <row r="126" spans="1:12" x14ac:dyDescent="0.3">
      <c r="A126" t="s">
        <v>4745</v>
      </c>
      <c r="B126" t="s">
        <v>4746</v>
      </c>
      <c r="C126" t="s">
        <v>1336</v>
      </c>
      <c r="D126">
        <v>42</v>
      </c>
      <c r="E126" t="s">
        <v>4472</v>
      </c>
      <c r="F126" t="s">
        <v>4473</v>
      </c>
      <c r="G126">
        <v>30446</v>
      </c>
      <c r="H126" t="s">
        <v>1409</v>
      </c>
      <c r="I126" t="s">
        <v>4496</v>
      </c>
      <c r="J126" s="1">
        <v>44458</v>
      </c>
      <c r="K126" t="s">
        <v>4480</v>
      </c>
      <c r="L126">
        <v>6349003950</v>
      </c>
    </row>
    <row r="127" spans="1:12" x14ac:dyDescent="0.3">
      <c r="A127" t="s">
        <v>4747</v>
      </c>
      <c r="B127" t="s">
        <v>4748</v>
      </c>
      <c r="C127" t="s">
        <v>1328</v>
      </c>
      <c r="D127">
        <v>27</v>
      </c>
      <c r="E127" t="s">
        <v>4557</v>
      </c>
      <c r="F127" t="s">
        <v>4558</v>
      </c>
      <c r="G127">
        <v>57196</v>
      </c>
      <c r="H127" t="s">
        <v>1409</v>
      </c>
      <c r="I127" t="s">
        <v>1713</v>
      </c>
      <c r="J127" s="1">
        <v>45484</v>
      </c>
      <c r="K127" t="s">
        <v>4480</v>
      </c>
      <c r="L127">
        <v>7763217868</v>
      </c>
    </row>
    <row r="128" spans="1:12" x14ac:dyDescent="0.3">
      <c r="A128" t="s">
        <v>4749</v>
      </c>
      <c r="B128" t="s">
        <v>4750</v>
      </c>
      <c r="C128" t="s">
        <v>1328</v>
      </c>
      <c r="D128">
        <v>42</v>
      </c>
      <c r="E128" t="s">
        <v>4532</v>
      </c>
      <c r="F128" t="s">
        <v>4533</v>
      </c>
      <c r="G128">
        <v>30047</v>
      </c>
      <c r="H128" t="s">
        <v>4488</v>
      </c>
      <c r="I128" t="s">
        <v>1504</v>
      </c>
      <c r="J128" s="1">
        <v>44570</v>
      </c>
      <c r="K128" t="s">
        <v>4480</v>
      </c>
      <c r="L128">
        <v>9415174668</v>
      </c>
    </row>
    <row r="129" spans="1:12" x14ac:dyDescent="0.3">
      <c r="A129" t="s">
        <v>4751</v>
      </c>
      <c r="B129" t="s">
        <v>4752</v>
      </c>
      <c r="C129" t="s">
        <v>1328</v>
      </c>
      <c r="D129">
        <v>27</v>
      </c>
      <c r="E129" t="s">
        <v>4513</v>
      </c>
      <c r="F129" t="s">
        <v>4514</v>
      </c>
      <c r="G129">
        <v>22275</v>
      </c>
      <c r="H129" t="s">
        <v>4488</v>
      </c>
      <c r="I129" t="s">
        <v>4521</v>
      </c>
      <c r="J129" s="1">
        <v>44800</v>
      </c>
      <c r="K129" t="s">
        <v>4480</v>
      </c>
      <c r="L129">
        <v>7401909247</v>
      </c>
    </row>
    <row r="130" spans="1:12" x14ac:dyDescent="0.3">
      <c r="A130" t="s">
        <v>4753</v>
      </c>
      <c r="B130" t="s">
        <v>4754</v>
      </c>
      <c r="C130" t="s">
        <v>1336</v>
      </c>
      <c r="D130">
        <v>24</v>
      </c>
      <c r="E130" t="s">
        <v>4557</v>
      </c>
      <c r="F130" t="s">
        <v>4568</v>
      </c>
      <c r="G130">
        <v>65084</v>
      </c>
      <c r="H130" t="s">
        <v>4488</v>
      </c>
      <c r="I130" t="s">
        <v>4521</v>
      </c>
      <c r="J130" s="1">
        <v>45046</v>
      </c>
      <c r="K130" t="s">
        <v>4480</v>
      </c>
      <c r="L130">
        <v>9503134273</v>
      </c>
    </row>
    <row r="131" spans="1:12" x14ac:dyDescent="0.3">
      <c r="A131" t="s">
        <v>33</v>
      </c>
      <c r="B131" t="s">
        <v>4755</v>
      </c>
      <c r="C131" t="s">
        <v>1328</v>
      </c>
      <c r="D131">
        <v>46</v>
      </c>
      <c r="E131" t="s">
        <v>4564</v>
      </c>
      <c r="F131" t="s">
        <v>4651</v>
      </c>
      <c r="G131">
        <v>17956</v>
      </c>
      <c r="H131" t="s">
        <v>1368</v>
      </c>
      <c r="I131" t="s">
        <v>1637</v>
      </c>
      <c r="J131" s="1">
        <v>45894</v>
      </c>
      <c r="K131" t="s">
        <v>4480</v>
      </c>
      <c r="L131">
        <v>6347489980</v>
      </c>
    </row>
    <row r="132" spans="1:12" x14ac:dyDescent="0.3">
      <c r="A132" t="s">
        <v>4756</v>
      </c>
      <c r="B132" t="s">
        <v>4757</v>
      </c>
      <c r="C132" t="s">
        <v>1336</v>
      </c>
      <c r="D132">
        <v>45</v>
      </c>
      <c r="E132" t="s">
        <v>4513</v>
      </c>
      <c r="F132" t="s">
        <v>4514</v>
      </c>
      <c r="G132">
        <v>47804</v>
      </c>
      <c r="H132" t="s">
        <v>4474</v>
      </c>
      <c r="I132" t="s">
        <v>1444</v>
      </c>
      <c r="J132" s="1">
        <v>45169</v>
      </c>
      <c r="K132" t="s">
        <v>4483</v>
      </c>
      <c r="L132">
        <v>8975812876</v>
      </c>
    </row>
    <row r="133" spans="1:12" x14ac:dyDescent="0.3">
      <c r="A133" t="s">
        <v>4758</v>
      </c>
      <c r="B133" t="s">
        <v>4759</v>
      </c>
      <c r="C133" t="s">
        <v>1328</v>
      </c>
      <c r="D133">
        <v>28</v>
      </c>
      <c r="E133" t="s">
        <v>4509</v>
      </c>
      <c r="F133" t="s">
        <v>4527</v>
      </c>
      <c r="G133">
        <v>39152</v>
      </c>
      <c r="H133" t="s">
        <v>4474</v>
      </c>
      <c r="I133" t="s">
        <v>1668</v>
      </c>
      <c r="J133" s="1">
        <v>43426</v>
      </c>
      <c r="K133" t="s">
        <v>4483</v>
      </c>
      <c r="L133">
        <v>7300277529</v>
      </c>
    </row>
    <row r="134" spans="1:12" x14ac:dyDescent="0.3">
      <c r="A134" t="s">
        <v>4760</v>
      </c>
      <c r="B134" t="s">
        <v>4761</v>
      </c>
      <c r="C134" t="s">
        <v>1328</v>
      </c>
      <c r="D134">
        <v>22</v>
      </c>
      <c r="E134" t="s">
        <v>4513</v>
      </c>
      <c r="F134" t="s">
        <v>4514</v>
      </c>
      <c r="G134">
        <v>64369</v>
      </c>
      <c r="H134" t="s">
        <v>1368</v>
      </c>
      <c r="I134" t="s">
        <v>4504</v>
      </c>
      <c r="J134" s="1">
        <v>43457</v>
      </c>
      <c r="K134" t="s">
        <v>4480</v>
      </c>
      <c r="L134">
        <v>9981319823</v>
      </c>
    </row>
    <row r="135" spans="1:12" x14ac:dyDescent="0.3">
      <c r="A135" t="s">
        <v>4762</v>
      </c>
      <c r="B135" t="s">
        <v>4763</v>
      </c>
      <c r="C135" t="s">
        <v>1328</v>
      </c>
      <c r="D135">
        <v>41</v>
      </c>
      <c r="E135" t="s">
        <v>4557</v>
      </c>
      <c r="F135" t="s">
        <v>4558</v>
      </c>
      <c r="G135">
        <v>49989</v>
      </c>
      <c r="H135" t="s">
        <v>1409</v>
      </c>
      <c r="I135" t="s">
        <v>4496</v>
      </c>
      <c r="J135" s="1">
        <v>43928</v>
      </c>
      <c r="K135" t="s">
        <v>4475</v>
      </c>
      <c r="L135">
        <v>8841491575</v>
      </c>
    </row>
    <row r="136" spans="1:12" x14ac:dyDescent="0.3">
      <c r="A136" t="s">
        <v>4764</v>
      </c>
      <c r="B136" t="s">
        <v>4765</v>
      </c>
      <c r="C136" t="s">
        <v>1328</v>
      </c>
      <c r="D136">
        <v>44</v>
      </c>
      <c r="E136" t="s">
        <v>4472</v>
      </c>
      <c r="F136" t="s">
        <v>4473</v>
      </c>
      <c r="G136">
        <v>49398</v>
      </c>
      <c r="H136" t="s">
        <v>1409</v>
      </c>
      <c r="I136" t="s">
        <v>4496</v>
      </c>
      <c r="J136" s="1">
        <v>46057</v>
      </c>
      <c r="K136" t="s">
        <v>4480</v>
      </c>
      <c r="L136">
        <v>7553221875</v>
      </c>
    </row>
    <row r="137" spans="1:12" x14ac:dyDescent="0.3">
      <c r="A137" t="s">
        <v>4766</v>
      </c>
      <c r="B137" t="s">
        <v>4767</v>
      </c>
      <c r="C137" t="s">
        <v>1328</v>
      </c>
      <c r="D137">
        <v>20</v>
      </c>
      <c r="E137" t="s">
        <v>4532</v>
      </c>
      <c r="F137" t="s">
        <v>4533</v>
      </c>
      <c r="G137">
        <v>64894</v>
      </c>
      <c r="H137" t="s">
        <v>4488</v>
      </c>
      <c r="I137" t="s">
        <v>4521</v>
      </c>
      <c r="J137" s="1">
        <v>44156</v>
      </c>
      <c r="K137" t="s">
        <v>4480</v>
      </c>
      <c r="L137">
        <v>9818776448</v>
      </c>
    </row>
    <row r="138" spans="1:12" x14ac:dyDescent="0.3">
      <c r="A138" t="s">
        <v>4768</v>
      </c>
      <c r="B138" t="s">
        <v>4769</v>
      </c>
      <c r="C138" t="s">
        <v>1328</v>
      </c>
      <c r="D138">
        <v>50</v>
      </c>
      <c r="E138" t="s">
        <v>4472</v>
      </c>
      <c r="F138" t="s">
        <v>4473</v>
      </c>
      <c r="G138">
        <v>55252</v>
      </c>
      <c r="H138" t="s">
        <v>4474</v>
      </c>
      <c r="I138" t="s">
        <v>1568</v>
      </c>
      <c r="J138" s="1">
        <v>44565</v>
      </c>
      <c r="K138" t="s">
        <v>4483</v>
      </c>
      <c r="L138">
        <v>7335631036</v>
      </c>
    </row>
    <row r="139" spans="1:12" x14ac:dyDescent="0.3">
      <c r="A139" t="s">
        <v>4770</v>
      </c>
      <c r="B139" t="s">
        <v>4771</v>
      </c>
      <c r="C139" t="s">
        <v>1336</v>
      </c>
      <c r="D139">
        <v>40</v>
      </c>
      <c r="E139" t="s">
        <v>4513</v>
      </c>
      <c r="F139" t="s">
        <v>4514</v>
      </c>
      <c r="G139">
        <v>32692</v>
      </c>
      <c r="H139" t="s">
        <v>1368</v>
      </c>
      <c r="I139" t="s">
        <v>4504</v>
      </c>
      <c r="J139" s="1">
        <v>43581</v>
      </c>
      <c r="K139" t="s">
        <v>4483</v>
      </c>
      <c r="L139">
        <v>7814547102</v>
      </c>
    </row>
    <row r="140" spans="1:12" x14ac:dyDescent="0.3">
      <c r="A140" t="s">
        <v>4772</v>
      </c>
      <c r="B140" t="s">
        <v>4773</v>
      </c>
      <c r="C140" t="s">
        <v>1328</v>
      </c>
      <c r="D140">
        <v>43</v>
      </c>
      <c r="E140" t="s">
        <v>4472</v>
      </c>
      <c r="F140" t="s">
        <v>4614</v>
      </c>
      <c r="G140">
        <v>23175</v>
      </c>
      <c r="H140" t="s">
        <v>1409</v>
      </c>
      <c r="I140" t="s">
        <v>1713</v>
      </c>
      <c r="J140" s="1">
        <v>43883</v>
      </c>
      <c r="K140" t="s">
        <v>4483</v>
      </c>
      <c r="L140">
        <v>8380331805</v>
      </c>
    </row>
    <row r="141" spans="1:12" x14ac:dyDescent="0.3">
      <c r="A141" t="s">
        <v>4774</v>
      </c>
      <c r="B141" t="s">
        <v>4775</v>
      </c>
      <c r="C141" t="s">
        <v>1328</v>
      </c>
      <c r="D141">
        <v>38</v>
      </c>
      <c r="E141" t="s">
        <v>4509</v>
      </c>
      <c r="F141" t="s">
        <v>4527</v>
      </c>
      <c r="G141">
        <v>36747</v>
      </c>
      <c r="H141" t="s">
        <v>4474</v>
      </c>
      <c r="I141" t="s">
        <v>1568</v>
      </c>
      <c r="J141" s="1">
        <v>44635</v>
      </c>
      <c r="K141" t="s">
        <v>4475</v>
      </c>
      <c r="L141">
        <v>8089906816</v>
      </c>
    </row>
    <row r="142" spans="1:12" x14ac:dyDescent="0.3">
      <c r="A142" t="s">
        <v>4776</v>
      </c>
      <c r="B142" t="s">
        <v>4777</v>
      </c>
      <c r="C142" t="s">
        <v>1328</v>
      </c>
      <c r="D142">
        <v>37</v>
      </c>
      <c r="E142" t="s">
        <v>4486</v>
      </c>
      <c r="F142" t="s">
        <v>4491</v>
      </c>
      <c r="G142">
        <v>16842</v>
      </c>
      <c r="H142" t="s">
        <v>1368</v>
      </c>
      <c r="I142" t="s">
        <v>1637</v>
      </c>
      <c r="J142" s="1">
        <v>43744</v>
      </c>
      <c r="K142" t="s">
        <v>4483</v>
      </c>
      <c r="L142">
        <v>9125039328</v>
      </c>
    </row>
    <row r="143" spans="1:12" x14ac:dyDescent="0.3">
      <c r="A143" t="s">
        <v>4778</v>
      </c>
      <c r="B143" t="s">
        <v>4779</v>
      </c>
      <c r="C143" t="s">
        <v>1336</v>
      </c>
      <c r="D143">
        <v>21</v>
      </c>
      <c r="E143" t="s">
        <v>4486</v>
      </c>
      <c r="F143" t="s">
        <v>4487</v>
      </c>
      <c r="G143">
        <v>21140</v>
      </c>
      <c r="H143" t="s">
        <v>1368</v>
      </c>
      <c r="I143" t="s">
        <v>1637</v>
      </c>
      <c r="J143" s="1">
        <v>45206</v>
      </c>
      <c r="K143" t="s">
        <v>4480</v>
      </c>
      <c r="L143">
        <v>9006735590</v>
      </c>
    </row>
    <row r="144" spans="1:12" x14ac:dyDescent="0.3">
      <c r="A144" t="s">
        <v>42</v>
      </c>
      <c r="B144" t="s">
        <v>4780</v>
      </c>
      <c r="C144" t="s">
        <v>1336</v>
      </c>
      <c r="D144">
        <v>37</v>
      </c>
      <c r="E144" t="s">
        <v>4564</v>
      </c>
      <c r="F144" t="s">
        <v>4565</v>
      </c>
      <c r="G144">
        <v>39271</v>
      </c>
      <c r="H144" t="s">
        <v>1368</v>
      </c>
      <c r="I144" t="s">
        <v>1637</v>
      </c>
      <c r="J144" s="1">
        <v>43521</v>
      </c>
      <c r="K144" t="s">
        <v>4475</v>
      </c>
      <c r="L144">
        <v>7975651519</v>
      </c>
    </row>
    <row r="145" spans="1:12" x14ac:dyDescent="0.3">
      <c r="A145" t="s">
        <v>237</v>
      </c>
      <c r="B145" t="s">
        <v>4781</v>
      </c>
      <c r="C145" t="s">
        <v>1336</v>
      </c>
      <c r="D145">
        <v>33</v>
      </c>
      <c r="E145" t="s">
        <v>4564</v>
      </c>
      <c r="F145" t="s">
        <v>4565</v>
      </c>
      <c r="G145">
        <v>52315</v>
      </c>
      <c r="H145" t="s">
        <v>1409</v>
      </c>
      <c r="I145" t="s">
        <v>4496</v>
      </c>
      <c r="J145" s="1">
        <v>45345</v>
      </c>
      <c r="K145" t="s">
        <v>4483</v>
      </c>
      <c r="L145">
        <v>6260055022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028D-659D-44A8-95C0-5387C9E87942}">
  <dimension ref="A1:G1831"/>
  <sheetViews>
    <sheetView topLeftCell="A1806" workbookViewId="0">
      <selection activeCell="M1822" sqref="M1822"/>
    </sheetView>
  </sheetViews>
  <sheetFormatPr defaultRowHeight="14.4" x14ac:dyDescent="0.3"/>
  <cols>
    <col min="1" max="1" width="13.88671875" bestFit="1" customWidth="1"/>
    <col min="2" max="2" width="23" bestFit="1" customWidth="1"/>
    <col min="3" max="3" width="6.21875" bestFit="1" customWidth="1"/>
    <col min="4" max="4" width="9.33203125" bestFit="1" customWidth="1"/>
    <col min="5" max="5" width="17.77734375" bestFit="1" customWidth="1"/>
    <col min="6" max="6" width="14.33203125" bestFit="1" customWidth="1"/>
    <col min="7" max="7" width="16" bestFit="1" customWidth="1"/>
  </cols>
  <sheetData>
    <row r="1" spans="1:7" x14ac:dyDescent="0.3">
      <c r="A1" t="s">
        <v>1319</v>
      </c>
      <c r="B1" t="s">
        <v>1320</v>
      </c>
      <c r="C1" t="s">
        <v>1321</v>
      </c>
      <c r="D1" t="s">
        <v>1322</v>
      </c>
      <c r="E1" t="s">
        <v>1323</v>
      </c>
      <c r="F1" t="s">
        <v>1324</v>
      </c>
      <c r="G1" t="s">
        <v>1325</v>
      </c>
    </row>
    <row r="2" spans="1:7" x14ac:dyDescent="0.3">
      <c r="A2" t="s">
        <v>1326</v>
      </c>
      <c r="B2" t="s">
        <v>1327</v>
      </c>
      <c r="C2">
        <v>54</v>
      </c>
      <c r="D2" t="s">
        <v>1328</v>
      </c>
      <c r="E2" t="s">
        <v>1329</v>
      </c>
      <c r="F2" t="s">
        <v>1330</v>
      </c>
      <c r="G2">
        <v>8268439701</v>
      </c>
    </row>
    <row r="3" spans="1:7" x14ac:dyDescent="0.3">
      <c r="A3" t="s">
        <v>936</v>
      </c>
      <c r="B3" t="s">
        <v>1331</v>
      </c>
      <c r="C3">
        <v>35</v>
      </c>
      <c r="D3" t="s">
        <v>1328</v>
      </c>
      <c r="E3" t="s">
        <v>1332</v>
      </c>
      <c r="F3" t="s">
        <v>1333</v>
      </c>
      <c r="G3">
        <v>8983139894</v>
      </c>
    </row>
    <row r="4" spans="1:7" x14ac:dyDescent="0.3">
      <c r="A4" t="s">
        <v>1334</v>
      </c>
      <c r="B4" t="s">
        <v>1335</v>
      </c>
      <c r="C4">
        <v>55</v>
      </c>
      <c r="D4" t="s">
        <v>1336</v>
      </c>
      <c r="E4" t="s">
        <v>1337</v>
      </c>
      <c r="F4" t="s">
        <v>1338</v>
      </c>
      <c r="G4">
        <v>6242988084</v>
      </c>
    </row>
    <row r="5" spans="1:7" x14ac:dyDescent="0.3">
      <c r="A5" t="s">
        <v>1339</v>
      </c>
      <c r="B5" t="s">
        <v>1340</v>
      </c>
      <c r="C5">
        <v>34</v>
      </c>
      <c r="D5" t="s">
        <v>1336</v>
      </c>
      <c r="E5" t="s">
        <v>1341</v>
      </c>
      <c r="F5" t="s">
        <v>1342</v>
      </c>
      <c r="G5">
        <v>7385201824</v>
      </c>
    </row>
    <row r="6" spans="1:7" x14ac:dyDescent="0.3">
      <c r="A6" t="s">
        <v>1343</v>
      </c>
      <c r="B6" t="s">
        <v>1344</v>
      </c>
      <c r="C6">
        <v>51</v>
      </c>
      <c r="D6" t="s">
        <v>1336</v>
      </c>
      <c r="E6" t="s">
        <v>1345</v>
      </c>
      <c r="F6" t="s">
        <v>1330</v>
      </c>
      <c r="G6">
        <v>8396434475</v>
      </c>
    </row>
    <row r="7" spans="1:7" x14ac:dyDescent="0.3">
      <c r="A7" t="s">
        <v>552</v>
      </c>
      <c r="B7" t="s">
        <v>1346</v>
      </c>
      <c r="C7">
        <v>20</v>
      </c>
      <c r="D7" t="s">
        <v>1336</v>
      </c>
      <c r="E7" t="s">
        <v>1347</v>
      </c>
      <c r="F7" t="s">
        <v>1348</v>
      </c>
      <c r="G7">
        <v>7108906806</v>
      </c>
    </row>
    <row r="8" spans="1:7" x14ac:dyDescent="0.3">
      <c r="A8" t="s">
        <v>1349</v>
      </c>
      <c r="B8" t="s">
        <v>1350</v>
      </c>
      <c r="C8">
        <v>35</v>
      </c>
      <c r="D8" t="s">
        <v>1336</v>
      </c>
      <c r="E8" t="s">
        <v>1351</v>
      </c>
      <c r="F8" t="s">
        <v>1352</v>
      </c>
      <c r="G8">
        <v>8885082109</v>
      </c>
    </row>
    <row r="9" spans="1:7" x14ac:dyDescent="0.3">
      <c r="A9" t="s">
        <v>1353</v>
      </c>
      <c r="B9" t="s">
        <v>1354</v>
      </c>
      <c r="C9">
        <v>44</v>
      </c>
      <c r="D9" t="s">
        <v>1328</v>
      </c>
      <c r="E9" t="s">
        <v>1355</v>
      </c>
      <c r="F9" t="s">
        <v>1356</v>
      </c>
      <c r="G9">
        <v>8798358610</v>
      </c>
    </row>
    <row r="10" spans="1:7" x14ac:dyDescent="0.3">
      <c r="A10" t="s">
        <v>1162</v>
      </c>
      <c r="B10" t="s">
        <v>1357</v>
      </c>
      <c r="C10">
        <v>37</v>
      </c>
      <c r="D10" t="s">
        <v>1336</v>
      </c>
      <c r="E10" t="s">
        <v>1358</v>
      </c>
      <c r="F10" t="s">
        <v>1356</v>
      </c>
      <c r="G10">
        <v>7796466608</v>
      </c>
    </row>
    <row r="11" spans="1:7" x14ac:dyDescent="0.3">
      <c r="A11" t="s">
        <v>1359</v>
      </c>
      <c r="B11" t="s">
        <v>1360</v>
      </c>
      <c r="C11">
        <v>24</v>
      </c>
      <c r="D11" t="s">
        <v>1328</v>
      </c>
      <c r="E11" t="s">
        <v>1361</v>
      </c>
      <c r="F11" t="s">
        <v>1362</v>
      </c>
      <c r="G11">
        <v>7495646103</v>
      </c>
    </row>
    <row r="12" spans="1:7" x14ac:dyDescent="0.3">
      <c r="A12" t="s">
        <v>1363</v>
      </c>
      <c r="B12" t="s">
        <v>1364</v>
      </c>
      <c r="C12">
        <v>47</v>
      </c>
      <c r="D12" t="s">
        <v>1328</v>
      </c>
      <c r="E12" t="s">
        <v>1365</v>
      </c>
      <c r="F12" t="s">
        <v>1352</v>
      </c>
      <c r="G12">
        <v>6179410081</v>
      </c>
    </row>
    <row r="13" spans="1:7" x14ac:dyDescent="0.3">
      <c r="A13" t="s">
        <v>1188</v>
      </c>
      <c r="B13" t="s">
        <v>1366</v>
      </c>
      <c r="C13">
        <v>54</v>
      </c>
      <c r="D13" t="s">
        <v>1328</v>
      </c>
      <c r="E13" t="s">
        <v>1367</v>
      </c>
      <c r="F13" t="s">
        <v>1368</v>
      </c>
      <c r="G13">
        <v>8424873173</v>
      </c>
    </row>
    <row r="14" spans="1:7" x14ac:dyDescent="0.3">
      <c r="A14" t="s">
        <v>1369</v>
      </c>
      <c r="B14" t="s">
        <v>1370</v>
      </c>
      <c r="C14">
        <v>19</v>
      </c>
      <c r="D14" t="s">
        <v>1328</v>
      </c>
      <c r="E14" t="s">
        <v>1371</v>
      </c>
      <c r="F14" t="s">
        <v>1342</v>
      </c>
      <c r="G14">
        <v>9478297963</v>
      </c>
    </row>
    <row r="15" spans="1:7" x14ac:dyDescent="0.3">
      <c r="A15" t="s">
        <v>1372</v>
      </c>
      <c r="B15" t="s">
        <v>1373</v>
      </c>
      <c r="C15">
        <v>52</v>
      </c>
      <c r="D15" t="s">
        <v>1336</v>
      </c>
      <c r="E15" t="s">
        <v>1374</v>
      </c>
      <c r="F15" t="s">
        <v>1348</v>
      </c>
      <c r="G15">
        <v>9792432994</v>
      </c>
    </row>
    <row r="16" spans="1:7" x14ac:dyDescent="0.3">
      <c r="A16" t="s">
        <v>1375</v>
      </c>
      <c r="B16" t="s">
        <v>1376</v>
      </c>
      <c r="C16">
        <v>59</v>
      </c>
      <c r="D16" t="s">
        <v>1328</v>
      </c>
      <c r="E16" t="s">
        <v>1377</v>
      </c>
      <c r="F16" t="s">
        <v>1368</v>
      </c>
      <c r="G16">
        <v>9843829980</v>
      </c>
    </row>
    <row r="17" spans="1:7" x14ac:dyDescent="0.3">
      <c r="A17" t="s">
        <v>1378</v>
      </c>
      <c r="B17" t="s">
        <v>1379</v>
      </c>
      <c r="C17">
        <v>62</v>
      </c>
      <c r="D17" t="s">
        <v>1336</v>
      </c>
      <c r="E17" t="s">
        <v>1367</v>
      </c>
      <c r="F17" t="s">
        <v>1368</v>
      </c>
      <c r="G17">
        <v>9837046523</v>
      </c>
    </row>
    <row r="18" spans="1:7" x14ac:dyDescent="0.3">
      <c r="A18" t="s">
        <v>1200</v>
      </c>
      <c r="B18" t="s">
        <v>1380</v>
      </c>
      <c r="C18">
        <v>18</v>
      </c>
      <c r="D18" t="s">
        <v>1328</v>
      </c>
      <c r="E18" t="s">
        <v>1381</v>
      </c>
      <c r="F18" t="s">
        <v>1352</v>
      </c>
      <c r="G18">
        <v>9568747739</v>
      </c>
    </row>
    <row r="19" spans="1:7" x14ac:dyDescent="0.3">
      <c r="A19" t="s">
        <v>174</v>
      </c>
      <c r="B19" t="s">
        <v>1382</v>
      </c>
      <c r="C19">
        <v>23</v>
      </c>
      <c r="D19" t="s">
        <v>1336</v>
      </c>
      <c r="E19" t="s">
        <v>1383</v>
      </c>
      <c r="F19" t="s">
        <v>1338</v>
      </c>
      <c r="G19">
        <v>9445336474</v>
      </c>
    </row>
    <row r="20" spans="1:7" x14ac:dyDescent="0.3">
      <c r="A20" t="s">
        <v>1384</v>
      </c>
      <c r="B20" t="s">
        <v>1385</v>
      </c>
      <c r="C20">
        <v>37</v>
      </c>
      <c r="D20" t="s">
        <v>1336</v>
      </c>
      <c r="E20" t="s">
        <v>1386</v>
      </c>
      <c r="F20" t="s">
        <v>1338</v>
      </c>
      <c r="G20">
        <v>8562842829</v>
      </c>
    </row>
    <row r="21" spans="1:7" x14ac:dyDescent="0.3">
      <c r="A21" t="s">
        <v>578</v>
      </c>
      <c r="B21" t="s">
        <v>1387</v>
      </c>
      <c r="C21">
        <v>37</v>
      </c>
      <c r="D21" t="s">
        <v>1328</v>
      </c>
      <c r="E21" t="s">
        <v>1388</v>
      </c>
      <c r="F21" t="s">
        <v>1342</v>
      </c>
      <c r="G21">
        <v>7398057485</v>
      </c>
    </row>
    <row r="22" spans="1:7" x14ac:dyDescent="0.3">
      <c r="A22" t="s">
        <v>363</v>
      </c>
      <c r="B22" t="s">
        <v>1389</v>
      </c>
      <c r="C22">
        <v>27</v>
      </c>
      <c r="D22" t="s">
        <v>1328</v>
      </c>
      <c r="E22" t="s">
        <v>1390</v>
      </c>
      <c r="F22" t="s">
        <v>1391</v>
      </c>
      <c r="G22">
        <v>7896992353</v>
      </c>
    </row>
    <row r="23" spans="1:7" x14ac:dyDescent="0.3">
      <c r="A23" t="s">
        <v>741</v>
      </c>
      <c r="B23" t="s">
        <v>1392</v>
      </c>
      <c r="C23">
        <v>46</v>
      </c>
      <c r="D23" t="s">
        <v>1328</v>
      </c>
      <c r="E23" t="s">
        <v>1393</v>
      </c>
      <c r="F23" t="s">
        <v>1394</v>
      </c>
      <c r="G23">
        <v>7312067649</v>
      </c>
    </row>
    <row r="24" spans="1:7" x14ac:dyDescent="0.3">
      <c r="A24" t="s">
        <v>1395</v>
      </c>
      <c r="B24" t="s">
        <v>1396</v>
      </c>
      <c r="C24">
        <v>42</v>
      </c>
      <c r="D24" t="s">
        <v>1328</v>
      </c>
      <c r="E24" t="s">
        <v>1397</v>
      </c>
      <c r="F24" t="s">
        <v>1333</v>
      </c>
      <c r="G24">
        <v>7608926632</v>
      </c>
    </row>
    <row r="25" spans="1:7" x14ac:dyDescent="0.3">
      <c r="A25" t="s">
        <v>1012</v>
      </c>
      <c r="B25" t="s">
        <v>1398</v>
      </c>
      <c r="C25">
        <v>35</v>
      </c>
      <c r="D25" t="s">
        <v>1328</v>
      </c>
      <c r="E25" t="s">
        <v>1399</v>
      </c>
      <c r="F25" t="s">
        <v>1400</v>
      </c>
      <c r="G25">
        <v>6452566324</v>
      </c>
    </row>
    <row r="26" spans="1:7" x14ac:dyDescent="0.3">
      <c r="A26" t="s">
        <v>1401</v>
      </c>
      <c r="B26" t="s">
        <v>1402</v>
      </c>
      <c r="C26">
        <v>42</v>
      </c>
      <c r="D26" t="s">
        <v>1328</v>
      </c>
      <c r="E26" t="s">
        <v>1403</v>
      </c>
      <c r="F26" t="s">
        <v>1362</v>
      </c>
      <c r="G26">
        <v>7091266412</v>
      </c>
    </row>
    <row r="27" spans="1:7" x14ac:dyDescent="0.3">
      <c r="A27" t="s">
        <v>556</v>
      </c>
      <c r="B27" t="s">
        <v>1404</v>
      </c>
      <c r="C27">
        <v>63</v>
      </c>
      <c r="D27" t="s">
        <v>1336</v>
      </c>
      <c r="E27" t="s">
        <v>1388</v>
      </c>
      <c r="F27" t="s">
        <v>1342</v>
      </c>
      <c r="G27">
        <v>8342568537</v>
      </c>
    </row>
    <row r="28" spans="1:7" x14ac:dyDescent="0.3">
      <c r="A28" t="s">
        <v>1405</v>
      </c>
      <c r="B28" t="s">
        <v>1406</v>
      </c>
      <c r="C28">
        <v>56</v>
      </c>
      <c r="D28" t="s">
        <v>1328</v>
      </c>
      <c r="E28" t="s">
        <v>1393</v>
      </c>
      <c r="F28" t="s">
        <v>1394</v>
      </c>
      <c r="G28">
        <v>8185935313</v>
      </c>
    </row>
    <row r="29" spans="1:7" x14ac:dyDescent="0.3">
      <c r="A29" t="s">
        <v>308</v>
      </c>
      <c r="B29" t="s">
        <v>1407</v>
      </c>
      <c r="C29">
        <v>22</v>
      </c>
      <c r="D29" t="s">
        <v>1328</v>
      </c>
      <c r="E29" t="s">
        <v>1408</v>
      </c>
      <c r="F29" t="s">
        <v>1409</v>
      </c>
      <c r="G29">
        <v>8449542988</v>
      </c>
    </row>
    <row r="30" spans="1:7" x14ac:dyDescent="0.3">
      <c r="A30" t="s">
        <v>737</v>
      </c>
      <c r="B30" t="s">
        <v>1410</v>
      </c>
      <c r="C30">
        <v>18</v>
      </c>
      <c r="D30" t="s">
        <v>1328</v>
      </c>
      <c r="E30" t="s">
        <v>1411</v>
      </c>
      <c r="F30" t="s">
        <v>1356</v>
      </c>
      <c r="G30">
        <v>8738960122</v>
      </c>
    </row>
    <row r="31" spans="1:7" x14ac:dyDescent="0.3">
      <c r="A31" t="s">
        <v>1132</v>
      </c>
      <c r="B31" t="s">
        <v>1412</v>
      </c>
      <c r="C31">
        <v>51</v>
      </c>
      <c r="D31" t="s">
        <v>1336</v>
      </c>
      <c r="E31" t="s">
        <v>1413</v>
      </c>
      <c r="F31" t="s">
        <v>1348</v>
      </c>
      <c r="G31">
        <v>7729665039</v>
      </c>
    </row>
    <row r="32" spans="1:7" x14ac:dyDescent="0.3">
      <c r="A32" t="s">
        <v>494</v>
      </c>
      <c r="B32" t="s">
        <v>1414</v>
      </c>
      <c r="C32">
        <v>64</v>
      </c>
      <c r="D32" t="s">
        <v>1336</v>
      </c>
      <c r="E32" t="s">
        <v>1415</v>
      </c>
      <c r="F32" t="s">
        <v>1348</v>
      </c>
      <c r="G32">
        <v>6968936787</v>
      </c>
    </row>
    <row r="33" spans="1:7" x14ac:dyDescent="0.3">
      <c r="A33" t="s">
        <v>1416</v>
      </c>
      <c r="B33" t="s">
        <v>1417</v>
      </c>
      <c r="C33">
        <v>48</v>
      </c>
      <c r="D33" t="s">
        <v>1336</v>
      </c>
      <c r="E33" t="s">
        <v>1418</v>
      </c>
      <c r="F33" t="s">
        <v>1419</v>
      </c>
      <c r="G33">
        <v>6492917551</v>
      </c>
    </row>
    <row r="34" spans="1:7" x14ac:dyDescent="0.3">
      <c r="A34" t="s">
        <v>111</v>
      </c>
      <c r="B34" t="s">
        <v>1420</v>
      </c>
      <c r="C34">
        <v>54</v>
      </c>
      <c r="D34" t="s">
        <v>1336</v>
      </c>
      <c r="E34" t="s">
        <v>1365</v>
      </c>
      <c r="F34" t="s">
        <v>1352</v>
      </c>
      <c r="G34">
        <v>6757617648</v>
      </c>
    </row>
    <row r="35" spans="1:7" x14ac:dyDescent="0.3">
      <c r="A35" t="s">
        <v>124</v>
      </c>
      <c r="B35" t="s">
        <v>1421</v>
      </c>
      <c r="C35">
        <v>28</v>
      </c>
      <c r="D35" t="s">
        <v>1336</v>
      </c>
      <c r="E35" t="s">
        <v>1422</v>
      </c>
      <c r="F35" t="s">
        <v>1330</v>
      </c>
      <c r="G35">
        <v>7209537934</v>
      </c>
    </row>
    <row r="36" spans="1:7" x14ac:dyDescent="0.3">
      <c r="A36" t="s">
        <v>1423</v>
      </c>
      <c r="B36" t="s">
        <v>1424</v>
      </c>
      <c r="C36">
        <v>33</v>
      </c>
      <c r="D36" t="s">
        <v>1328</v>
      </c>
      <c r="E36" t="s">
        <v>1425</v>
      </c>
      <c r="F36" t="s">
        <v>1409</v>
      </c>
      <c r="G36">
        <v>8989798256</v>
      </c>
    </row>
    <row r="37" spans="1:7" x14ac:dyDescent="0.3">
      <c r="A37" t="s">
        <v>1426</v>
      </c>
      <c r="B37" t="s">
        <v>1427</v>
      </c>
      <c r="C37">
        <v>26</v>
      </c>
      <c r="D37" t="s">
        <v>1336</v>
      </c>
      <c r="E37" t="s">
        <v>1361</v>
      </c>
      <c r="F37" t="s">
        <v>1362</v>
      </c>
      <c r="G37">
        <v>7338876290</v>
      </c>
    </row>
    <row r="38" spans="1:7" x14ac:dyDescent="0.3">
      <c r="A38" t="s">
        <v>1428</v>
      </c>
      <c r="B38" t="s">
        <v>1429</v>
      </c>
      <c r="C38">
        <v>50</v>
      </c>
      <c r="D38" t="s">
        <v>1328</v>
      </c>
      <c r="E38" t="s">
        <v>1430</v>
      </c>
      <c r="F38" t="s">
        <v>1330</v>
      </c>
      <c r="G38">
        <v>9454765696</v>
      </c>
    </row>
    <row r="39" spans="1:7" x14ac:dyDescent="0.3">
      <c r="A39" t="s">
        <v>332</v>
      </c>
      <c r="B39" t="s">
        <v>1431</v>
      </c>
      <c r="C39">
        <v>34</v>
      </c>
      <c r="D39" t="s">
        <v>1336</v>
      </c>
      <c r="E39" t="s">
        <v>1432</v>
      </c>
      <c r="F39" t="s">
        <v>1342</v>
      </c>
      <c r="G39">
        <v>6080687417</v>
      </c>
    </row>
    <row r="40" spans="1:7" x14ac:dyDescent="0.3">
      <c r="A40" t="s">
        <v>1433</v>
      </c>
      <c r="B40" t="s">
        <v>1434</v>
      </c>
      <c r="C40">
        <v>18</v>
      </c>
      <c r="D40" t="s">
        <v>1336</v>
      </c>
      <c r="E40" t="s">
        <v>1411</v>
      </c>
      <c r="F40" t="s">
        <v>1356</v>
      </c>
      <c r="G40">
        <v>8649253609</v>
      </c>
    </row>
    <row r="41" spans="1:7" x14ac:dyDescent="0.3">
      <c r="A41" t="s">
        <v>413</v>
      </c>
      <c r="B41" t="s">
        <v>1435</v>
      </c>
      <c r="C41">
        <v>21</v>
      </c>
      <c r="D41" t="s">
        <v>1328</v>
      </c>
      <c r="E41" t="s">
        <v>1345</v>
      </c>
      <c r="F41" t="s">
        <v>1330</v>
      </c>
      <c r="G41">
        <v>6562061201</v>
      </c>
    </row>
    <row r="42" spans="1:7" x14ac:dyDescent="0.3">
      <c r="A42" t="s">
        <v>1436</v>
      </c>
      <c r="B42" t="s">
        <v>1437</v>
      </c>
      <c r="C42">
        <v>37</v>
      </c>
      <c r="D42" t="s">
        <v>1336</v>
      </c>
      <c r="E42" t="s">
        <v>1438</v>
      </c>
      <c r="F42" t="s">
        <v>1419</v>
      </c>
      <c r="G42">
        <v>8285329196</v>
      </c>
    </row>
    <row r="43" spans="1:7" x14ac:dyDescent="0.3">
      <c r="A43" t="s">
        <v>1439</v>
      </c>
      <c r="B43" t="s">
        <v>1440</v>
      </c>
      <c r="C43">
        <v>43</v>
      </c>
      <c r="D43" t="s">
        <v>1336</v>
      </c>
      <c r="E43" t="s">
        <v>1441</v>
      </c>
      <c r="F43" t="s">
        <v>1394</v>
      </c>
      <c r="G43">
        <v>9609428952</v>
      </c>
    </row>
    <row r="44" spans="1:7" x14ac:dyDescent="0.3">
      <c r="A44" t="s">
        <v>1442</v>
      </c>
      <c r="B44" t="s">
        <v>1443</v>
      </c>
      <c r="C44">
        <v>62</v>
      </c>
      <c r="D44" t="s">
        <v>1328</v>
      </c>
      <c r="E44" t="s">
        <v>1444</v>
      </c>
      <c r="F44" t="s">
        <v>1445</v>
      </c>
      <c r="G44">
        <v>8719635751</v>
      </c>
    </row>
    <row r="45" spans="1:7" x14ac:dyDescent="0.3">
      <c r="A45" t="s">
        <v>1446</v>
      </c>
      <c r="B45" t="s">
        <v>1447</v>
      </c>
      <c r="C45">
        <v>45</v>
      </c>
      <c r="D45" t="s">
        <v>1328</v>
      </c>
      <c r="E45" t="s">
        <v>1422</v>
      </c>
      <c r="F45" t="s">
        <v>1330</v>
      </c>
      <c r="G45">
        <v>6712246629</v>
      </c>
    </row>
    <row r="46" spans="1:7" x14ac:dyDescent="0.3">
      <c r="A46" t="s">
        <v>972</v>
      </c>
      <c r="B46" t="s">
        <v>1448</v>
      </c>
      <c r="C46">
        <v>58</v>
      </c>
      <c r="D46" t="s">
        <v>1328</v>
      </c>
      <c r="E46" t="s">
        <v>1367</v>
      </c>
      <c r="F46" t="s">
        <v>1368</v>
      </c>
      <c r="G46">
        <v>8509752233</v>
      </c>
    </row>
    <row r="47" spans="1:7" x14ac:dyDescent="0.3">
      <c r="A47" t="s">
        <v>1449</v>
      </c>
      <c r="B47" t="s">
        <v>1450</v>
      </c>
      <c r="C47">
        <v>50</v>
      </c>
      <c r="D47" t="s">
        <v>1336</v>
      </c>
      <c r="E47" t="s">
        <v>1451</v>
      </c>
      <c r="F47" t="s">
        <v>1445</v>
      </c>
      <c r="G47">
        <v>8471915445</v>
      </c>
    </row>
    <row r="48" spans="1:7" x14ac:dyDescent="0.3">
      <c r="A48" t="s">
        <v>1452</v>
      </c>
      <c r="B48" t="s">
        <v>1453</v>
      </c>
      <c r="C48">
        <v>60</v>
      </c>
      <c r="D48" t="s">
        <v>1328</v>
      </c>
      <c r="E48" t="s">
        <v>1408</v>
      </c>
      <c r="F48" t="s">
        <v>1409</v>
      </c>
      <c r="G48">
        <v>8574715701</v>
      </c>
    </row>
    <row r="49" spans="1:7" x14ac:dyDescent="0.3">
      <c r="A49" t="s">
        <v>1454</v>
      </c>
      <c r="B49" t="s">
        <v>1455</v>
      </c>
      <c r="C49">
        <v>63</v>
      </c>
      <c r="D49" t="s">
        <v>1336</v>
      </c>
      <c r="E49" t="s">
        <v>1456</v>
      </c>
      <c r="F49" t="s">
        <v>1394</v>
      </c>
      <c r="G49">
        <v>9129136092</v>
      </c>
    </row>
    <row r="50" spans="1:7" x14ac:dyDescent="0.3">
      <c r="A50" t="s">
        <v>664</v>
      </c>
      <c r="B50" t="s">
        <v>1457</v>
      </c>
      <c r="C50">
        <v>40</v>
      </c>
      <c r="D50" t="s">
        <v>1328</v>
      </c>
      <c r="E50" t="s">
        <v>1371</v>
      </c>
      <c r="F50" t="s">
        <v>1342</v>
      </c>
      <c r="G50">
        <v>9993669588</v>
      </c>
    </row>
    <row r="51" spans="1:7" x14ac:dyDescent="0.3">
      <c r="A51" t="s">
        <v>610</v>
      </c>
      <c r="B51" t="s">
        <v>1458</v>
      </c>
      <c r="C51">
        <v>47</v>
      </c>
      <c r="D51" t="s">
        <v>1336</v>
      </c>
      <c r="E51" t="s">
        <v>1444</v>
      </c>
      <c r="F51" t="s">
        <v>1445</v>
      </c>
      <c r="G51">
        <v>7944435584</v>
      </c>
    </row>
    <row r="52" spans="1:7" x14ac:dyDescent="0.3">
      <c r="A52" t="s">
        <v>1459</v>
      </c>
      <c r="B52" t="s">
        <v>1460</v>
      </c>
      <c r="C52">
        <v>42</v>
      </c>
      <c r="D52" t="s">
        <v>1336</v>
      </c>
      <c r="E52" t="s">
        <v>1461</v>
      </c>
      <c r="F52" t="s">
        <v>1445</v>
      </c>
      <c r="G52">
        <v>7719601554</v>
      </c>
    </row>
    <row r="53" spans="1:7" x14ac:dyDescent="0.3">
      <c r="A53" t="s">
        <v>262</v>
      </c>
      <c r="B53" t="s">
        <v>1462</v>
      </c>
      <c r="C53">
        <v>47</v>
      </c>
      <c r="D53" t="s">
        <v>1336</v>
      </c>
      <c r="E53" t="s">
        <v>1463</v>
      </c>
      <c r="F53" t="s">
        <v>1391</v>
      </c>
      <c r="G53">
        <v>8338122560</v>
      </c>
    </row>
    <row r="54" spans="1:7" x14ac:dyDescent="0.3">
      <c r="A54" t="s">
        <v>1198</v>
      </c>
      <c r="B54" t="s">
        <v>1464</v>
      </c>
      <c r="C54">
        <v>38</v>
      </c>
      <c r="D54" t="s">
        <v>1328</v>
      </c>
      <c r="E54" t="s">
        <v>1432</v>
      </c>
      <c r="F54" t="s">
        <v>1342</v>
      </c>
      <c r="G54">
        <v>6718260933</v>
      </c>
    </row>
    <row r="55" spans="1:7" x14ac:dyDescent="0.3">
      <c r="A55" t="s">
        <v>287</v>
      </c>
      <c r="B55" t="s">
        <v>1465</v>
      </c>
      <c r="C55">
        <v>45</v>
      </c>
      <c r="D55" t="s">
        <v>1328</v>
      </c>
      <c r="E55" t="s">
        <v>1466</v>
      </c>
      <c r="F55" t="s">
        <v>1338</v>
      </c>
      <c r="G55">
        <v>8100613797</v>
      </c>
    </row>
    <row r="56" spans="1:7" x14ac:dyDescent="0.3">
      <c r="A56" t="s">
        <v>1467</v>
      </c>
      <c r="B56" t="s">
        <v>1468</v>
      </c>
      <c r="C56">
        <v>58</v>
      </c>
      <c r="D56" t="s">
        <v>1336</v>
      </c>
      <c r="E56" t="s">
        <v>1355</v>
      </c>
      <c r="F56" t="s">
        <v>1356</v>
      </c>
      <c r="G56">
        <v>9862375810</v>
      </c>
    </row>
    <row r="57" spans="1:7" x14ac:dyDescent="0.3">
      <c r="A57" t="s">
        <v>148</v>
      </c>
      <c r="B57" t="s">
        <v>1469</v>
      </c>
      <c r="C57">
        <v>18</v>
      </c>
      <c r="D57" t="s">
        <v>1328</v>
      </c>
      <c r="E57" t="s">
        <v>1397</v>
      </c>
      <c r="F57" t="s">
        <v>1333</v>
      </c>
      <c r="G57">
        <v>8418361428</v>
      </c>
    </row>
    <row r="58" spans="1:7" x14ac:dyDescent="0.3">
      <c r="A58" t="s">
        <v>1470</v>
      </c>
      <c r="B58" t="s">
        <v>1471</v>
      </c>
      <c r="C58">
        <v>54</v>
      </c>
      <c r="D58" t="s">
        <v>1328</v>
      </c>
      <c r="E58" t="s">
        <v>1397</v>
      </c>
      <c r="F58" t="s">
        <v>1333</v>
      </c>
      <c r="G58">
        <v>9983898033</v>
      </c>
    </row>
    <row r="59" spans="1:7" x14ac:dyDescent="0.3">
      <c r="A59" t="s">
        <v>618</v>
      </c>
      <c r="B59" t="s">
        <v>1472</v>
      </c>
      <c r="C59">
        <v>60</v>
      </c>
      <c r="D59" t="s">
        <v>1328</v>
      </c>
      <c r="E59" t="s">
        <v>1418</v>
      </c>
      <c r="F59" t="s">
        <v>1419</v>
      </c>
      <c r="G59">
        <v>6332036234</v>
      </c>
    </row>
    <row r="60" spans="1:7" x14ac:dyDescent="0.3">
      <c r="A60" t="s">
        <v>1473</v>
      </c>
      <c r="B60" t="s">
        <v>1474</v>
      </c>
      <c r="C60">
        <v>21</v>
      </c>
      <c r="D60" t="s">
        <v>1328</v>
      </c>
      <c r="E60" t="s">
        <v>1475</v>
      </c>
      <c r="F60" t="s">
        <v>1419</v>
      </c>
      <c r="G60">
        <v>9628997420</v>
      </c>
    </row>
    <row r="61" spans="1:7" x14ac:dyDescent="0.3">
      <c r="A61" t="s">
        <v>1476</v>
      </c>
      <c r="B61" t="s">
        <v>1477</v>
      </c>
      <c r="C61">
        <v>45</v>
      </c>
      <c r="D61" t="s">
        <v>1336</v>
      </c>
      <c r="E61" t="s">
        <v>1478</v>
      </c>
      <c r="F61" t="s">
        <v>1391</v>
      </c>
      <c r="G61">
        <v>8512257758</v>
      </c>
    </row>
    <row r="62" spans="1:7" x14ac:dyDescent="0.3">
      <c r="A62" t="s">
        <v>1479</v>
      </c>
      <c r="B62" t="s">
        <v>1480</v>
      </c>
      <c r="C62">
        <v>38</v>
      </c>
      <c r="D62" t="s">
        <v>1336</v>
      </c>
      <c r="E62" t="s">
        <v>1422</v>
      </c>
      <c r="F62" t="s">
        <v>1330</v>
      </c>
      <c r="G62">
        <v>6939690809</v>
      </c>
    </row>
    <row r="63" spans="1:7" x14ac:dyDescent="0.3">
      <c r="A63" t="s">
        <v>1481</v>
      </c>
      <c r="B63" t="s">
        <v>1482</v>
      </c>
      <c r="C63">
        <v>47</v>
      </c>
      <c r="D63" t="s">
        <v>1336</v>
      </c>
      <c r="E63" t="s">
        <v>1483</v>
      </c>
      <c r="F63" t="s">
        <v>1368</v>
      </c>
      <c r="G63">
        <v>8708635189</v>
      </c>
    </row>
    <row r="64" spans="1:7" x14ac:dyDescent="0.3">
      <c r="A64" t="s">
        <v>1484</v>
      </c>
      <c r="B64" t="s">
        <v>1485</v>
      </c>
      <c r="C64">
        <v>37</v>
      </c>
      <c r="D64" t="s">
        <v>1336</v>
      </c>
      <c r="E64" t="s">
        <v>1377</v>
      </c>
      <c r="F64" t="s">
        <v>1368</v>
      </c>
      <c r="G64">
        <v>9768120987</v>
      </c>
    </row>
    <row r="65" spans="1:7" x14ac:dyDescent="0.3">
      <c r="A65" t="s">
        <v>570</v>
      </c>
      <c r="B65" t="s">
        <v>1486</v>
      </c>
      <c r="C65">
        <v>20</v>
      </c>
      <c r="D65" t="s">
        <v>1328</v>
      </c>
      <c r="E65" t="s">
        <v>1381</v>
      </c>
      <c r="F65" t="s">
        <v>1352</v>
      </c>
      <c r="G65">
        <v>7109182343</v>
      </c>
    </row>
    <row r="66" spans="1:7" x14ac:dyDescent="0.3">
      <c r="A66" t="s">
        <v>1487</v>
      </c>
      <c r="B66" t="s">
        <v>1488</v>
      </c>
      <c r="C66">
        <v>61</v>
      </c>
      <c r="D66" t="s">
        <v>1328</v>
      </c>
      <c r="E66" t="s">
        <v>1341</v>
      </c>
      <c r="F66" t="s">
        <v>1342</v>
      </c>
      <c r="G66">
        <v>6350108439</v>
      </c>
    </row>
    <row r="67" spans="1:7" x14ac:dyDescent="0.3">
      <c r="A67" t="s">
        <v>1489</v>
      </c>
      <c r="B67" t="s">
        <v>1490</v>
      </c>
      <c r="C67">
        <v>55</v>
      </c>
      <c r="D67" t="s">
        <v>1336</v>
      </c>
      <c r="E67" t="s">
        <v>1475</v>
      </c>
      <c r="F67" t="s">
        <v>1419</v>
      </c>
      <c r="G67">
        <v>9211084296</v>
      </c>
    </row>
    <row r="68" spans="1:7" x14ac:dyDescent="0.3">
      <c r="A68" t="s">
        <v>1491</v>
      </c>
      <c r="B68" t="s">
        <v>1492</v>
      </c>
      <c r="C68">
        <v>38</v>
      </c>
      <c r="D68" t="s">
        <v>1328</v>
      </c>
      <c r="E68" t="s">
        <v>1415</v>
      </c>
      <c r="F68" t="s">
        <v>1348</v>
      </c>
      <c r="G68">
        <v>8413051869</v>
      </c>
    </row>
    <row r="69" spans="1:7" x14ac:dyDescent="0.3">
      <c r="A69" t="s">
        <v>1493</v>
      </c>
      <c r="B69" t="s">
        <v>1494</v>
      </c>
      <c r="C69">
        <v>42</v>
      </c>
      <c r="D69" t="s">
        <v>1328</v>
      </c>
      <c r="E69" t="s">
        <v>1408</v>
      </c>
      <c r="F69" t="s">
        <v>1409</v>
      </c>
      <c r="G69">
        <v>9985365746</v>
      </c>
    </row>
    <row r="70" spans="1:7" x14ac:dyDescent="0.3">
      <c r="A70" t="s">
        <v>1495</v>
      </c>
      <c r="B70" t="s">
        <v>1496</v>
      </c>
      <c r="C70">
        <v>59</v>
      </c>
      <c r="D70" t="s">
        <v>1336</v>
      </c>
      <c r="E70" t="s">
        <v>1461</v>
      </c>
      <c r="F70" t="s">
        <v>1445</v>
      </c>
      <c r="G70">
        <v>8702247124</v>
      </c>
    </row>
    <row r="71" spans="1:7" x14ac:dyDescent="0.3">
      <c r="A71" t="s">
        <v>725</v>
      </c>
      <c r="B71" t="s">
        <v>1497</v>
      </c>
      <c r="C71">
        <v>48</v>
      </c>
      <c r="D71" t="s">
        <v>1336</v>
      </c>
      <c r="E71" t="s">
        <v>1498</v>
      </c>
      <c r="F71" t="s">
        <v>1362</v>
      </c>
      <c r="G71">
        <v>6362278884</v>
      </c>
    </row>
    <row r="72" spans="1:7" x14ac:dyDescent="0.3">
      <c r="A72" t="s">
        <v>1499</v>
      </c>
      <c r="B72" t="s">
        <v>1500</v>
      </c>
      <c r="C72">
        <v>55</v>
      </c>
      <c r="D72" t="s">
        <v>1328</v>
      </c>
      <c r="E72" t="s">
        <v>1501</v>
      </c>
      <c r="F72" t="s">
        <v>1394</v>
      </c>
      <c r="G72">
        <v>8205562703</v>
      </c>
    </row>
    <row r="73" spans="1:7" x14ac:dyDescent="0.3">
      <c r="A73" t="s">
        <v>1502</v>
      </c>
      <c r="B73" t="s">
        <v>1503</v>
      </c>
      <c r="C73">
        <v>35</v>
      </c>
      <c r="D73" t="s">
        <v>1336</v>
      </c>
      <c r="E73" t="s">
        <v>1504</v>
      </c>
      <c r="F73" t="s">
        <v>1394</v>
      </c>
      <c r="G73">
        <v>7883881352</v>
      </c>
    </row>
    <row r="74" spans="1:7" x14ac:dyDescent="0.3">
      <c r="A74" t="s">
        <v>1505</v>
      </c>
      <c r="B74" t="s">
        <v>1506</v>
      </c>
      <c r="C74">
        <v>58</v>
      </c>
      <c r="D74" t="s">
        <v>1328</v>
      </c>
      <c r="E74" t="s">
        <v>1332</v>
      </c>
      <c r="F74" t="s">
        <v>1333</v>
      </c>
      <c r="G74">
        <v>9747918635</v>
      </c>
    </row>
    <row r="75" spans="1:7" x14ac:dyDescent="0.3">
      <c r="A75" t="s">
        <v>1507</v>
      </c>
      <c r="B75" t="s">
        <v>1508</v>
      </c>
      <c r="C75">
        <v>56</v>
      </c>
      <c r="D75" t="s">
        <v>1336</v>
      </c>
      <c r="E75" t="s">
        <v>1411</v>
      </c>
      <c r="F75" t="s">
        <v>1356</v>
      </c>
      <c r="G75">
        <v>9055060356</v>
      </c>
    </row>
    <row r="76" spans="1:7" x14ac:dyDescent="0.3">
      <c r="A76" t="s">
        <v>1509</v>
      </c>
      <c r="B76" t="s">
        <v>1510</v>
      </c>
      <c r="C76">
        <v>64</v>
      </c>
      <c r="D76" t="s">
        <v>1336</v>
      </c>
      <c r="E76" t="s">
        <v>1511</v>
      </c>
      <c r="F76" t="s">
        <v>1419</v>
      </c>
      <c r="G76">
        <v>7332917577</v>
      </c>
    </row>
    <row r="77" spans="1:7" x14ac:dyDescent="0.3">
      <c r="A77" t="s">
        <v>1512</v>
      </c>
      <c r="B77" t="s">
        <v>1513</v>
      </c>
      <c r="C77">
        <v>57</v>
      </c>
      <c r="D77" t="s">
        <v>1336</v>
      </c>
      <c r="E77" t="s">
        <v>1332</v>
      </c>
      <c r="F77" t="s">
        <v>1333</v>
      </c>
      <c r="G77">
        <v>6955822550</v>
      </c>
    </row>
    <row r="78" spans="1:7" x14ac:dyDescent="0.3">
      <c r="A78" t="s">
        <v>670</v>
      </c>
      <c r="B78" t="s">
        <v>1514</v>
      </c>
      <c r="C78">
        <v>19</v>
      </c>
      <c r="D78" t="s">
        <v>1328</v>
      </c>
      <c r="E78" t="s">
        <v>1381</v>
      </c>
      <c r="F78" t="s">
        <v>1352</v>
      </c>
      <c r="G78">
        <v>7029998561</v>
      </c>
    </row>
    <row r="79" spans="1:7" x14ac:dyDescent="0.3">
      <c r="A79" t="s">
        <v>1515</v>
      </c>
      <c r="B79" t="s">
        <v>1516</v>
      </c>
      <c r="C79">
        <v>19</v>
      </c>
      <c r="D79" t="s">
        <v>1336</v>
      </c>
      <c r="E79" t="s">
        <v>1517</v>
      </c>
      <c r="F79" t="s">
        <v>1362</v>
      </c>
      <c r="G79">
        <v>7938396764</v>
      </c>
    </row>
    <row r="80" spans="1:7" x14ac:dyDescent="0.3">
      <c r="A80" t="s">
        <v>1518</v>
      </c>
      <c r="B80" t="s">
        <v>1519</v>
      </c>
      <c r="C80">
        <v>24</v>
      </c>
      <c r="D80" t="s">
        <v>1336</v>
      </c>
      <c r="E80" t="s">
        <v>1361</v>
      </c>
      <c r="F80" t="s">
        <v>1362</v>
      </c>
      <c r="G80">
        <v>7773073445</v>
      </c>
    </row>
    <row r="81" spans="1:7" x14ac:dyDescent="0.3">
      <c r="A81" t="s">
        <v>1520</v>
      </c>
      <c r="B81" t="s">
        <v>1521</v>
      </c>
      <c r="C81">
        <v>21</v>
      </c>
      <c r="D81" t="s">
        <v>1328</v>
      </c>
      <c r="E81" t="s">
        <v>1388</v>
      </c>
      <c r="F81" t="s">
        <v>1342</v>
      </c>
      <c r="G81">
        <v>6607765166</v>
      </c>
    </row>
    <row r="82" spans="1:7" x14ac:dyDescent="0.3">
      <c r="A82" t="s">
        <v>1522</v>
      </c>
      <c r="B82" t="s">
        <v>1523</v>
      </c>
      <c r="C82">
        <v>52</v>
      </c>
      <c r="D82" t="s">
        <v>1336</v>
      </c>
      <c r="E82" t="s">
        <v>1358</v>
      </c>
      <c r="F82" t="s">
        <v>1356</v>
      </c>
      <c r="G82">
        <v>8607762101</v>
      </c>
    </row>
    <row r="83" spans="1:7" x14ac:dyDescent="0.3">
      <c r="A83" t="s">
        <v>1524</v>
      </c>
      <c r="B83" t="s">
        <v>1525</v>
      </c>
      <c r="C83">
        <v>29</v>
      </c>
      <c r="D83" t="s">
        <v>1336</v>
      </c>
      <c r="E83" t="s">
        <v>1430</v>
      </c>
      <c r="F83" t="s">
        <v>1330</v>
      </c>
      <c r="G83">
        <v>9635360749</v>
      </c>
    </row>
    <row r="84" spans="1:7" x14ac:dyDescent="0.3">
      <c r="A84" t="s">
        <v>1526</v>
      </c>
      <c r="B84" t="s">
        <v>1527</v>
      </c>
      <c r="C84">
        <v>55</v>
      </c>
      <c r="D84" t="s">
        <v>1328</v>
      </c>
      <c r="E84" t="s">
        <v>1403</v>
      </c>
      <c r="F84" t="s">
        <v>1362</v>
      </c>
      <c r="G84">
        <v>8052582148</v>
      </c>
    </row>
    <row r="85" spans="1:7" x14ac:dyDescent="0.3">
      <c r="A85" t="s">
        <v>1528</v>
      </c>
      <c r="B85" t="s">
        <v>1529</v>
      </c>
      <c r="C85">
        <v>53</v>
      </c>
      <c r="D85" t="s">
        <v>1328</v>
      </c>
      <c r="E85" t="s">
        <v>1351</v>
      </c>
      <c r="F85" t="s">
        <v>1352</v>
      </c>
      <c r="G85">
        <v>6118225515</v>
      </c>
    </row>
    <row r="86" spans="1:7" x14ac:dyDescent="0.3">
      <c r="A86" t="s">
        <v>1530</v>
      </c>
      <c r="B86" t="s">
        <v>1531</v>
      </c>
      <c r="C86">
        <v>25</v>
      </c>
      <c r="D86" t="s">
        <v>1328</v>
      </c>
      <c r="E86" t="s">
        <v>1475</v>
      </c>
      <c r="F86" t="s">
        <v>1419</v>
      </c>
      <c r="G86">
        <v>9958936465</v>
      </c>
    </row>
    <row r="87" spans="1:7" x14ac:dyDescent="0.3">
      <c r="A87" t="s">
        <v>1532</v>
      </c>
      <c r="B87" t="s">
        <v>1533</v>
      </c>
      <c r="C87">
        <v>43</v>
      </c>
      <c r="D87" t="s">
        <v>1328</v>
      </c>
      <c r="E87" t="s">
        <v>1430</v>
      </c>
      <c r="F87" t="s">
        <v>1330</v>
      </c>
      <c r="G87">
        <v>6981460204</v>
      </c>
    </row>
    <row r="88" spans="1:7" x14ac:dyDescent="0.3">
      <c r="A88" t="s">
        <v>696</v>
      </c>
      <c r="B88" t="s">
        <v>1534</v>
      </c>
      <c r="C88">
        <v>56</v>
      </c>
      <c r="D88" t="s">
        <v>1328</v>
      </c>
      <c r="E88" t="s">
        <v>1381</v>
      </c>
      <c r="F88" t="s">
        <v>1352</v>
      </c>
      <c r="G88">
        <v>6527392940</v>
      </c>
    </row>
    <row r="89" spans="1:7" x14ac:dyDescent="0.3">
      <c r="A89" t="s">
        <v>837</v>
      </c>
      <c r="B89" t="s">
        <v>1535</v>
      </c>
      <c r="C89">
        <v>27</v>
      </c>
      <c r="D89" t="s">
        <v>1336</v>
      </c>
      <c r="E89" t="s">
        <v>1358</v>
      </c>
      <c r="F89" t="s">
        <v>1356</v>
      </c>
      <c r="G89">
        <v>7345165385</v>
      </c>
    </row>
    <row r="90" spans="1:7" x14ac:dyDescent="0.3">
      <c r="A90" t="s">
        <v>1536</v>
      </c>
      <c r="B90" t="s">
        <v>1537</v>
      </c>
      <c r="C90">
        <v>35</v>
      </c>
      <c r="D90" t="s">
        <v>1336</v>
      </c>
      <c r="E90" t="s">
        <v>1418</v>
      </c>
      <c r="F90" t="s">
        <v>1419</v>
      </c>
      <c r="G90">
        <v>9240054816</v>
      </c>
    </row>
    <row r="91" spans="1:7" x14ac:dyDescent="0.3">
      <c r="A91" t="s">
        <v>1538</v>
      </c>
      <c r="B91" t="s">
        <v>1539</v>
      </c>
      <c r="C91">
        <v>21</v>
      </c>
      <c r="D91" t="s">
        <v>1328</v>
      </c>
      <c r="E91" t="s">
        <v>1383</v>
      </c>
      <c r="F91" t="s">
        <v>1338</v>
      </c>
      <c r="G91">
        <v>6241741721</v>
      </c>
    </row>
    <row r="92" spans="1:7" x14ac:dyDescent="0.3">
      <c r="A92" t="s">
        <v>1540</v>
      </c>
      <c r="B92" t="s">
        <v>1541</v>
      </c>
      <c r="C92">
        <v>38</v>
      </c>
      <c r="D92" t="s">
        <v>1328</v>
      </c>
      <c r="E92" t="s">
        <v>1542</v>
      </c>
      <c r="F92" t="s">
        <v>1409</v>
      </c>
      <c r="G92">
        <v>6505326834</v>
      </c>
    </row>
    <row r="93" spans="1:7" x14ac:dyDescent="0.3">
      <c r="A93" t="s">
        <v>1543</v>
      </c>
      <c r="B93" t="s">
        <v>1544</v>
      </c>
      <c r="C93">
        <v>65</v>
      </c>
      <c r="D93" t="s">
        <v>1336</v>
      </c>
      <c r="E93" t="s">
        <v>1415</v>
      </c>
      <c r="F93" t="s">
        <v>1348</v>
      </c>
      <c r="G93">
        <v>7128301023</v>
      </c>
    </row>
    <row r="94" spans="1:7" x14ac:dyDescent="0.3">
      <c r="A94" t="s">
        <v>807</v>
      </c>
      <c r="B94" t="s">
        <v>1545</v>
      </c>
      <c r="C94">
        <v>35</v>
      </c>
      <c r="D94" t="s">
        <v>1336</v>
      </c>
      <c r="E94" t="s">
        <v>1438</v>
      </c>
      <c r="F94" t="s">
        <v>1419</v>
      </c>
      <c r="G94">
        <v>7683421016</v>
      </c>
    </row>
    <row r="95" spans="1:7" x14ac:dyDescent="0.3">
      <c r="A95" t="s">
        <v>1546</v>
      </c>
      <c r="B95" t="s">
        <v>1547</v>
      </c>
      <c r="C95">
        <v>18</v>
      </c>
      <c r="D95" t="s">
        <v>1336</v>
      </c>
      <c r="E95" t="s">
        <v>1498</v>
      </c>
      <c r="F95" t="s">
        <v>1362</v>
      </c>
      <c r="G95">
        <v>8534453228</v>
      </c>
    </row>
    <row r="96" spans="1:7" x14ac:dyDescent="0.3">
      <c r="A96" t="s">
        <v>372</v>
      </c>
      <c r="B96" t="s">
        <v>1548</v>
      </c>
      <c r="C96">
        <v>63</v>
      </c>
      <c r="D96" t="s">
        <v>1328</v>
      </c>
      <c r="E96" t="s">
        <v>1478</v>
      </c>
      <c r="F96" t="s">
        <v>1391</v>
      </c>
      <c r="G96">
        <v>8471623288</v>
      </c>
    </row>
    <row r="97" spans="1:7" x14ac:dyDescent="0.3">
      <c r="A97" t="s">
        <v>349</v>
      </c>
      <c r="B97" t="s">
        <v>1549</v>
      </c>
      <c r="C97">
        <v>60</v>
      </c>
      <c r="D97" t="s">
        <v>1336</v>
      </c>
      <c r="E97" t="s">
        <v>1413</v>
      </c>
      <c r="F97" t="s">
        <v>1348</v>
      </c>
      <c r="G97">
        <v>6090619519</v>
      </c>
    </row>
    <row r="98" spans="1:7" x14ac:dyDescent="0.3">
      <c r="A98" t="s">
        <v>1550</v>
      </c>
      <c r="B98" t="s">
        <v>1551</v>
      </c>
      <c r="C98">
        <v>40</v>
      </c>
      <c r="D98" t="s">
        <v>1328</v>
      </c>
      <c r="E98" t="s">
        <v>1432</v>
      </c>
      <c r="F98" t="s">
        <v>1342</v>
      </c>
      <c r="G98">
        <v>9377299953</v>
      </c>
    </row>
    <row r="99" spans="1:7" x14ac:dyDescent="0.3">
      <c r="A99" t="s">
        <v>1552</v>
      </c>
      <c r="B99" t="s">
        <v>1553</v>
      </c>
      <c r="C99">
        <v>32</v>
      </c>
      <c r="D99" t="s">
        <v>1328</v>
      </c>
      <c r="E99" t="s">
        <v>1504</v>
      </c>
      <c r="F99" t="s">
        <v>1394</v>
      </c>
      <c r="G99">
        <v>6226105205</v>
      </c>
    </row>
    <row r="100" spans="1:7" x14ac:dyDescent="0.3">
      <c r="A100" t="s">
        <v>1554</v>
      </c>
      <c r="B100" t="s">
        <v>1555</v>
      </c>
      <c r="C100">
        <v>26</v>
      </c>
      <c r="D100" t="s">
        <v>1328</v>
      </c>
      <c r="E100" t="s">
        <v>1556</v>
      </c>
      <c r="F100" t="s">
        <v>1333</v>
      </c>
      <c r="G100">
        <v>7151222438</v>
      </c>
    </row>
    <row r="101" spans="1:7" x14ac:dyDescent="0.3">
      <c r="A101" t="s">
        <v>1557</v>
      </c>
      <c r="B101" t="s">
        <v>1558</v>
      </c>
      <c r="C101">
        <v>27</v>
      </c>
      <c r="D101" t="s">
        <v>1336</v>
      </c>
      <c r="E101" t="s">
        <v>1383</v>
      </c>
      <c r="F101" t="s">
        <v>1338</v>
      </c>
      <c r="G101">
        <v>9797832165</v>
      </c>
    </row>
    <row r="102" spans="1:7" x14ac:dyDescent="0.3">
      <c r="A102" t="s">
        <v>1112</v>
      </c>
      <c r="B102" t="s">
        <v>1559</v>
      </c>
      <c r="C102">
        <v>38</v>
      </c>
      <c r="D102" t="s">
        <v>1336</v>
      </c>
      <c r="E102" t="s">
        <v>1456</v>
      </c>
      <c r="F102" t="s">
        <v>1394</v>
      </c>
      <c r="G102">
        <v>6437559106</v>
      </c>
    </row>
    <row r="103" spans="1:7" x14ac:dyDescent="0.3">
      <c r="A103" t="s">
        <v>869</v>
      </c>
      <c r="B103" t="s">
        <v>1560</v>
      </c>
      <c r="C103">
        <v>64</v>
      </c>
      <c r="D103" t="s">
        <v>1328</v>
      </c>
      <c r="E103" t="s">
        <v>1367</v>
      </c>
      <c r="F103" t="s">
        <v>1368</v>
      </c>
      <c r="G103">
        <v>6542886445</v>
      </c>
    </row>
    <row r="104" spans="1:7" x14ac:dyDescent="0.3">
      <c r="A104" t="s">
        <v>1561</v>
      </c>
      <c r="B104" t="s">
        <v>1562</v>
      </c>
      <c r="C104">
        <v>34</v>
      </c>
      <c r="D104" t="s">
        <v>1336</v>
      </c>
      <c r="E104" t="s">
        <v>1563</v>
      </c>
      <c r="F104" t="s">
        <v>1356</v>
      </c>
      <c r="G104">
        <v>8281853977</v>
      </c>
    </row>
    <row r="105" spans="1:7" x14ac:dyDescent="0.3">
      <c r="A105" t="s">
        <v>1070</v>
      </c>
      <c r="B105" t="s">
        <v>1564</v>
      </c>
      <c r="C105">
        <v>39</v>
      </c>
      <c r="D105" t="s">
        <v>1336</v>
      </c>
      <c r="E105" t="s">
        <v>1413</v>
      </c>
      <c r="F105" t="s">
        <v>1348</v>
      </c>
      <c r="G105">
        <v>6984909434</v>
      </c>
    </row>
    <row r="106" spans="1:7" x14ac:dyDescent="0.3">
      <c r="A106" t="s">
        <v>1565</v>
      </c>
      <c r="B106" t="s">
        <v>1566</v>
      </c>
      <c r="C106">
        <v>54</v>
      </c>
      <c r="D106" t="s">
        <v>1328</v>
      </c>
      <c r="E106" t="s">
        <v>1475</v>
      </c>
      <c r="F106" t="s">
        <v>1419</v>
      </c>
      <c r="G106">
        <v>6200784973</v>
      </c>
    </row>
    <row r="107" spans="1:7" x14ac:dyDescent="0.3">
      <c r="A107" t="s">
        <v>1318</v>
      </c>
      <c r="B107" t="s">
        <v>1567</v>
      </c>
      <c r="C107">
        <v>61</v>
      </c>
      <c r="D107" t="s">
        <v>1336</v>
      </c>
      <c r="E107" t="s">
        <v>1568</v>
      </c>
      <c r="F107" t="s">
        <v>1445</v>
      </c>
      <c r="G107">
        <v>9480013039</v>
      </c>
    </row>
    <row r="108" spans="1:7" x14ac:dyDescent="0.3">
      <c r="A108" t="s">
        <v>1569</v>
      </c>
      <c r="B108" t="s">
        <v>1570</v>
      </c>
      <c r="C108">
        <v>43</v>
      </c>
      <c r="D108" t="s">
        <v>1336</v>
      </c>
      <c r="E108" t="s">
        <v>1501</v>
      </c>
      <c r="F108" t="s">
        <v>1394</v>
      </c>
      <c r="G108">
        <v>8702227552</v>
      </c>
    </row>
    <row r="109" spans="1:7" x14ac:dyDescent="0.3">
      <c r="A109" t="s">
        <v>628</v>
      </c>
      <c r="B109" t="s">
        <v>1571</v>
      </c>
      <c r="C109">
        <v>59</v>
      </c>
      <c r="D109" t="s">
        <v>1336</v>
      </c>
      <c r="E109" t="s">
        <v>1542</v>
      </c>
      <c r="F109" t="s">
        <v>1409</v>
      </c>
      <c r="G109">
        <v>8650923927</v>
      </c>
    </row>
    <row r="110" spans="1:7" x14ac:dyDescent="0.3">
      <c r="A110" t="s">
        <v>145</v>
      </c>
      <c r="B110" t="s">
        <v>1572</v>
      </c>
      <c r="C110">
        <v>44</v>
      </c>
      <c r="D110" t="s">
        <v>1336</v>
      </c>
      <c r="E110" t="s">
        <v>1361</v>
      </c>
      <c r="F110" t="s">
        <v>1362</v>
      </c>
      <c r="G110">
        <v>9704716436</v>
      </c>
    </row>
    <row r="111" spans="1:7" x14ac:dyDescent="0.3">
      <c r="A111" t="s">
        <v>534</v>
      </c>
      <c r="B111" t="s">
        <v>1573</v>
      </c>
      <c r="C111">
        <v>26</v>
      </c>
      <c r="D111" t="s">
        <v>1328</v>
      </c>
      <c r="E111" t="s">
        <v>1383</v>
      </c>
      <c r="F111" t="s">
        <v>1338</v>
      </c>
      <c r="G111">
        <v>7776696723</v>
      </c>
    </row>
    <row r="112" spans="1:7" x14ac:dyDescent="0.3">
      <c r="A112" t="s">
        <v>1574</v>
      </c>
      <c r="B112" t="s">
        <v>1575</v>
      </c>
      <c r="C112">
        <v>65</v>
      </c>
      <c r="D112" t="s">
        <v>1328</v>
      </c>
      <c r="E112" t="s">
        <v>1377</v>
      </c>
      <c r="F112" t="s">
        <v>1368</v>
      </c>
      <c r="G112">
        <v>8489241944</v>
      </c>
    </row>
    <row r="113" spans="1:7" x14ac:dyDescent="0.3">
      <c r="A113" t="s">
        <v>1576</v>
      </c>
      <c r="B113" t="s">
        <v>1577</v>
      </c>
      <c r="C113">
        <v>20</v>
      </c>
      <c r="D113" t="s">
        <v>1328</v>
      </c>
      <c r="E113" t="s">
        <v>1517</v>
      </c>
      <c r="F113" t="s">
        <v>1362</v>
      </c>
      <c r="G113">
        <v>8743729242</v>
      </c>
    </row>
    <row r="114" spans="1:7" x14ac:dyDescent="0.3">
      <c r="A114" t="s">
        <v>1578</v>
      </c>
      <c r="B114" t="s">
        <v>1579</v>
      </c>
      <c r="C114">
        <v>64</v>
      </c>
      <c r="D114" t="s">
        <v>1328</v>
      </c>
      <c r="E114" t="s">
        <v>1351</v>
      </c>
      <c r="F114" t="s">
        <v>1352</v>
      </c>
      <c r="G114">
        <v>8310640356</v>
      </c>
    </row>
    <row r="115" spans="1:7" x14ac:dyDescent="0.3">
      <c r="A115" t="s">
        <v>1580</v>
      </c>
      <c r="B115" t="s">
        <v>1581</v>
      </c>
      <c r="C115">
        <v>39</v>
      </c>
      <c r="D115" t="s">
        <v>1328</v>
      </c>
      <c r="E115" t="s">
        <v>1361</v>
      </c>
      <c r="F115" t="s">
        <v>1362</v>
      </c>
      <c r="G115">
        <v>9676575498</v>
      </c>
    </row>
    <row r="116" spans="1:7" x14ac:dyDescent="0.3">
      <c r="A116" t="s">
        <v>1582</v>
      </c>
      <c r="B116" t="s">
        <v>1583</v>
      </c>
      <c r="C116">
        <v>40</v>
      </c>
      <c r="D116" t="s">
        <v>1336</v>
      </c>
      <c r="E116" t="s">
        <v>1511</v>
      </c>
      <c r="F116" t="s">
        <v>1419</v>
      </c>
      <c r="G116">
        <v>7768518730</v>
      </c>
    </row>
    <row r="117" spans="1:7" x14ac:dyDescent="0.3">
      <c r="A117" t="s">
        <v>1584</v>
      </c>
      <c r="B117" t="s">
        <v>1585</v>
      </c>
      <c r="C117">
        <v>28</v>
      </c>
      <c r="D117" t="s">
        <v>1336</v>
      </c>
      <c r="E117" t="s">
        <v>1504</v>
      </c>
      <c r="F117" t="s">
        <v>1394</v>
      </c>
      <c r="G117">
        <v>6579852950</v>
      </c>
    </row>
    <row r="118" spans="1:7" x14ac:dyDescent="0.3">
      <c r="A118" t="s">
        <v>805</v>
      </c>
      <c r="B118" t="s">
        <v>1586</v>
      </c>
      <c r="C118">
        <v>39</v>
      </c>
      <c r="D118" t="s">
        <v>1328</v>
      </c>
      <c r="E118" t="s">
        <v>1332</v>
      </c>
      <c r="F118" t="s">
        <v>1333</v>
      </c>
      <c r="G118">
        <v>9613754586</v>
      </c>
    </row>
    <row r="119" spans="1:7" x14ac:dyDescent="0.3">
      <c r="A119" t="s">
        <v>1587</v>
      </c>
      <c r="B119" t="s">
        <v>1588</v>
      </c>
      <c r="C119">
        <v>59</v>
      </c>
      <c r="D119" t="s">
        <v>1328</v>
      </c>
      <c r="E119" t="s">
        <v>1345</v>
      </c>
      <c r="F119" t="s">
        <v>1330</v>
      </c>
      <c r="G119">
        <v>8780449517</v>
      </c>
    </row>
    <row r="120" spans="1:7" x14ac:dyDescent="0.3">
      <c r="A120" t="s">
        <v>1589</v>
      </c>
      <c r="B120" t="s">
        <v>1590</v>
      </c>
      <c r="C120">
        <v>64</v>
      </c>
      <c r="D120" t="s">
        <v>1336</v>
      </c>
      <c r="E120" t="s">
        <v>1591</v>
      </c>
      <c r="F120" t="s">
        <v>1352</v>
      </c>
      <c r="G120">
        <v>6016769821</v>
      </c>
    </row>
    <row r="121" spans="1:7" x14ac:dyDescent="0.3">
      <c r="A121" t="s">
        <v>1592</v>
      </c>
      <c r="B121" t="s">
        <v>1593</v>
      </c>
      <c r="C121">
        <v>49</v>
      </c>
      <c r="D121" t="s">
        <v>1336</v>
      </c>
      <c r="E121" t="s">
        <v>1594</v>
      </c>
      <c r="F121" t="s">
        <v>1445</v>
      </c>
      <c r="G121">
        <v>8494203698</v>
      </c>
    </row>
    <row r="122" spans="1:7" x14ac:dyDescent="0.3">
      <c r="A122" t="s">
        <v>1595</v>
      </c>
      <c r="B122" t="s">
        <v>1596</v>
      </c>
      <c r="C122">
        <v>34</v>
      </c>
      <c r="D122" t="s">
        <v>1328</v>
      </c>
      <c r="E122" t="s">
        <v>1594</v>
      </c>
      <c r="F122" t="s">
        <v>1445</v>
      </c>
      <c r="G122">
        <v>8107041883</v>
      </c>
    </row>
    <row r="123" spans="1:7" x14ac:dyDescent="0.3">
      <c r="A123" t="s">
        <v>1597</v>
      </c>
      <c r="B123" t="s">
        <v>1598</v>
      </c>
      <c r="C123">
        <v>31</v>
      </c>
      <c r="D123" t="s">
        <v>1336</v>
      </c>
      <c r="E123" t="s">
        <v>1599</v>
      </c>
      <c r="F123" t="s">
        <v>1400</v>
      </c>
      <c r="G123">
        <v>9390794910</v>
      </c>
    </row>
    <row r="124" spans="1:7" x14ac:dyDescent="0.3">
      <c r="A124" t="s">
        <v>743</v>
      </c>
      <c r="B124" t="s">
        <v>1600</v>
      </c>
      <c r="C124">
        <v>46</v>
      </c>
      <c r="D124" t="s">
        <v>1328</v>
      </c>
      <c r="E124" t="s">
        <v>1542</v>
      </c>
      <c r="F124" t="s">
        <v>1409</v>
      </c>
      <c r="G124">
        <v>6894699545</v>
      </c>
    </row>
    <row r="125" spans="1:7" x14ac:dyDescent="0.3">
      <c r="A125" t="s">
        <v>337</v>
      </c>
      <c r="B125" t="s">
        <v>1601</v>
      </c>
      <c r="C125">
        <v>21</v>
      </c>
      <c r="D125" t="s">
        <v>1328</v>
      </c>
      <c r="E125" t="s">
        <v>1602</v>
      </c>
      <c r="F125" t="s">
        <v>1400</v>
      </c>
      <c r="G125">
        <v>8862804022</v>
      </c>
    </row>
    <row r="126" spans="1:7" x14ac:dyDescent="0.3">
      <c r="A126" t="s">
        <v>1603</v>
      </c>
      <c r="B126" t="s">
        <v>1604</v>
      </c>
      <c r="C126">
        <v>47</v>
      </c>
      <c r="D126" t="s">
        <v>1336</v>
      </c>
      <c r="E126" t="s">
        <v>1351</v>
      </c>
      <c r="F126" t="s">
        <v>1352</v>
      </c>
      <c r="G126">
        <v>9576654508</v>
      </c>
    </row>
    <row r="127" spans="1:7" x14ac:dyDescent="0.3">
      <c r="A127" t="s">
        <v>492</v>
      </c>
      <c r="B127" t="s">
        <v>1605</v>
      </c>
      <c r="C127">
        <v>41</v>
      </c>
      <c r="D127" t="s">
        <v>1328</v>
      </c>
      <c r="E127" t="s">
        <v>1498</v>
      </c>
      <c r="F127" t="s">
        <v>1362</v>
      </c>
      <c r="G127">
        <v>8415845413</v>
      </c>
    </row>
    <row r="128" spans="1:7" x14ac:dyDescent="0.3">
      <c r="A128" t="s">
        <v>940</v>
      </c>
      <c r="B128" t="s">
        <v>1606</v>
      </c>
      <c r="C128">
        <v>23</v>
      </c>
      <c r="D128" t="s">
        <v>1328</v>
      </c>
      <c r="E128" t="s">
        <v>1386</v>
      </c>
      <c r="F128" t="s">
        <v>1338</v>
      </c>
      <c r="G128">
        <v>6299971557</v>
      </c>
    </row>
    <row r="129" spans="1:7" x14ac:dyDescent="0.3">
      <c r="A129" t="s">
        <v>1607</v>
      </c>
      <c r="B129" t="s">
        <v>1608</v>
      </c>
      <c r="C129">
        <v>44</v>
      </c>
      <c r="D129" t="s">
        <v>1328</v>
      </c>
      <c r="E129" t="s">
        <v>1563</v>
      </c>
      <c r="F129" t="s">
        <v>1356</v>
      </c>
      <c r="G129">
        <v>9381727164</v>
      </c>
    </row>
    <row r="130" spans="1:7" x14ac:dyDescent="0.3">
      <c r="A130" t="s">
        <v>1609</v>
      </c>
      <c r="B130" t="s">
        <v>1610</v>
      </c>
      <c r="C130">
        <v>23</v>
      </c>
      <c r="D130" t="s">
        <v>1336</v>
      </c>
      <c r="E130" t="s">
        <v>1444</v>
      </c>
      <c r="F130" t="s">
        <v>1445</v>
      </c>
      <c r="G130">
        <v>6846881064</v>
      </c>
    </row>
    <row r="131" spans="1:7" x14ac:dyDescent="0.3">
      <c r="A131" t="s">
        <v>1611</v>
      </c>
      <c r="B131" t="s">
        <v>1612</v>
      </c>
      <c r="C131">
        <v>35</v>
      </c>
      <c r="D131" t="s">
        <v>1336</v>
      </c>
      <c r="E131" t="s">
        <v>1478</v>
      </c>
      <c r="F131" t="s">
        <v>1391</v>
      </c>
      <c r="G131">
        <v>9887131949</v>
      </c>
    </row>
    <row r="132" spans="1:7" x14ac:dyDescent="0.3">
      <c r="A132" t="s">
        <v>1613</v>
      </c>
      <c r="B132" t="s">
        <v>1614</v>
      </c>
      <c r="C132">
        <v>25</v>
      </c>
      <c r="D132" t="s">
        <v>1336</v>
      </c>
      <c r="E132" t="s">
        <v>1329</v>
      </c>
      <c r="F132" t="s">
        <v>1330</v>
      </c>
      <c r="G132">
        <v>8459102676</v>
      </c>
    </row>
    <row r="133" spans="1:7" x14ac:dyDescent="0.3">
      <c r="A133" t="s">
        <v>1615</v>
      </c>
      <c r="B133" t="s">
        <v>1616</v>
      </c>
      <c r="C133">
        <v>60</v>
      </c>
      <c r="D133" t="s">
        <v>1336</v>
      </c>
      <c r="E133" t="s">
        <v>1425</v>
      </c>
      <c r="F133" t="s">
        <v>1409</v>
      </c>
      <c r="G133">
        <v>7477888188</v>
      </c>
    </row>
    <row r="134" spans="1:7" x14ac:dyDescent="0.3">
      <c r="A134" t="s">
        <v>1617</v>
      </c>
      <c r="B134" t="s">
        <v>1618</v>
      </c>
      <c r="C134">
        <v>55</v>
      </c>
      <c r="D134" t="s">
        <v>1328</v>
      </c>
      <c r="E134" t="s">
        <v>1430</v>
      </c>
      <c r="F134" t="s">
        <v>1330</v>
      </c>
      <c r="G134">
        <v>6058549435</v>
      </c>
    </row>
    <row r="135" spans="1:7" x14ac:dyDescent="0.3">
      <c r="A135" t="s">
        <v>1062</v>
      </c>
      <c r="B135" t="s">
        <v>1619</v>
      </c>
      <c r="C135">
        <v>26</v>
      </c>
      <c r="D135" t="s">
        <v>1328</v>
      </c>
      <c r="E135" t="s">
        <v>1463</v>
      </c>
      <c r="F135" t="s">
        <v>1391</v>
      </c>
      <c r="G135">
        <v>8486628121</v>
      </c>
    </row>
    <row r="136" spans="1:7" x14ac:dyDescent="0.3">
      <c r="A136" t="s">
        <v>1620</v>
      </c>
      <c r="B136" t="s">
        <v>1621</v>
      </c>
      <c r="C136">
        <v>31</v>
      </c>
      <c r="D136" t="s">
        <v>1328</v>
      </c>
      <c r="E136" t="s">
        <v>1347</v>
      </c>
      <c r="F136" t="s">
        <v>1348</v>
      </c>
      <c r="G136">
        <v>7165091259</v>
      </c>
    </row>
    <row r="137" spans="1:7" x14ac:dyDescent="0.3">
      <c r="A137" t="s">
        <v>201</v>
      </c>
      <c r="B137" t="s">
        <v>1622</v>
      </c>
      <c r="C137">
        <v>20</v>
      </c>
      <c r="D137" t="s">
        <v>1328</v>
      </c>
      <c r="E137" t="s">
        <v>1399</v>
      </c>
      <c r="F137" t="s">
        <v>1400</v>
      </c>
      <c r="G137">
        <v>7453375663</v>
      </c>
    </row>
    <row r="138" spans="1:7" x14ac:dyDescent="0.3">
      <c r="A138" t="s">
        <v>1623</v>
      </c>
      <c r="B138" t="s">
        <v>1624</v>
      </c>
      <c r="C138">
        <v>63</v>
      </c>
      <c r="D138" t="s">
        <v>1336</v>
      </c>
      <c r="E138" t="s">
        <v>1501</v>
      </c>
      <c r="F138" t="s">
        <v>1394</v>
      </c>
      <c r="G138">
        <v>6024416750</v>
      </c>
    </row>
    <row r="139" spans="1:7" x14ac:dyDescent="0.3">
      <c r="A139" t="s">
        <v>1625</v>
      </c>
      <c r="B139" t="s">
        <v>1626</v>
      </c>
      <c r="C139">
        <v>56</v>
      </c>
      <c r="D139" t="s">
        <v>1328</v>
      </c>
      <c r="E139" t="s">
        <v>1504</v>
      </c>
      <c r="F139" t="s">
        <v>1394</v>
      </c>
      <c r="G139">
        <v>7035615382</v>
      </c>
    </row>
    <row r="140" spans="1:7" x14ac:dyDescent="0.3">
      <c r="A140" t="s">
        <v>236</v>
      </c>
      <c r="B140" t="s">
        <v>1627</v>
      </c>
      <c r="C140">
        <v>43</v>
      </c>
      <c r="D140" t="s">
        <v>1336</v>
      </c>
      <c r="E140" t="s">
        <v>1461</v>
      </c>
      <c r="F140" t="s">
        <v>1445</v>
      </c>
      <c r="G140">
        <v>9215830121</v>
      </c>
    </row>
    <row r="141" spans="1:7" x14ac:dyDescent="0.3">
      <c r="A141" t="s">
        <v>53</v>
      </c>
      <c r="B141" t="s">
        <v>1628</v>
      </c>
      <c r="C141">
        <v>56</v>
      </c>
      <c r="D141" t="s">
        <v>1328</v>
      </c>
      <c r="E141" t="s">
        <v>1478</v>
      </c>
      <c r="F141" t="s">
        <v>1391</v>
      </c>
      <c r="G141">
        <v>7865365092</v>
      </c>
    </row>
    <row r="142" spans="1:7" x14ac:dyDescent="0.3">
      <c r="A142" t="s">
        <v>1629</v>
      </c>
      <c r="B142" t="s">
        <v>1630</v>
      </c>
      <c r="C142">
        <v>54</v>
      </c>
      <c r="D142" t="s">
        <v>1336</v>
      </c>
      <c r="E142" t="s">
        <v>1411</v>
      </c>
      <c r="F142" t="s">
        <v>1356</v>
      </c>
      <c r="G142">
        <v>6906234838</v>
      </c>
    </row>
    <row r="143" spans="1:7" x14ac:dyDescent="0.3">
      <c r="A143" t="s">
        <v>1631</v>
      </c>
      <c r="B143" t="s">
        <v>1632</v>
      </c>
      <c r="C143">
        <v>18</v>
      </c>
      <c r="D143" t="s">
        <v>1336</v>
      </c>
      <c r="E143" t="s">
        <v>1341</v>
      </c>
      <c r="F143" t="s">
        <v>1342</v>
      </c>
      <c r="G143">
        <v>9959537209</v>
      </c>
    </row>
    <row r="144" spans="1:7" x14ac:dyDescent="0.3">
      <c r="A144" t="s">
        <v>1633</v>
      </c>
      <c r="B144" t="s">
        <v>1634</v>
      </c>
      <c r="C144">
        <v>44</v>
      </c>
      <c r="D144" t="s">
        <v>1328</v>
      </c>
      <c r="E144" t="s">
        <v>1461</v>
      </c>
      <c r="F144" t="s">
        <v>1445</v>
      </c>
      <c r="G144">
        <v>6339587168</v>
      </c>
    </row>
    <row r="145" spans="1:7" x14ac:dyDescent="0.3">
      <c r="A145" t="s">
        <v>1635</v>
      </c>
      <c r="B145" t="s">
        <v>1636</v>
      </c>
      <c r="C145">
        <v>33</v>
      </c>
      <c r="D145" t="s">
        <v>1336</v>
      </c>
      <c r="E145" t="s">
        <v>1637</v>
      </c>
      <c r="F145" t="s">
        <v>1368</v>
      </c>
      <c r="G145">
        <v>7430569819</v>
      </c>
    </row>
    <row r="146" spans="1:7" x14ac:dyDescent="0.3">
      <c r="A146" t="s">
        <v>1638</v>
      </c>
      <c r="B146" t="s">
        <v>1639</v>
      </c>
      <c r="C146">
        <v>25</v>
      </c>
      <c r="D146" t="s">
        <v>1328</v>
      </c>
      <c r="E146" t="s">
        <v>1403</v>
      </c>
      <c r="F146" t="s">
        <v>1362</v>
      </c>
      <c r="G146">
        <v>9738637606</v>
      </c>
    </row>
    <row r="147" spans="1:7" x14ac:dyDescent="0.3">
      <c r="A147" t="s">
        <v>300</v>
      </c>
      <c r="B147" t="s">
        <v>1640</v>
      </c>
      <c r="C147">
        <v>30</v>
      </c>
      <c r="D147" t="s">
        <v>1328</v>
      </c>
      <c r="E147" t="s">
        <v>1542</v>
      </c>
      <c r="F147" t="s">
        <v>1409</v>
      </c>
      <c r="G147">
        <v>8790538446</v>
      </c>
    </row>
    <row r="148" spans="1:7" x14ac:dyDescent="0.3">
      <c r="A148" t="s">
        <v>1036</v>
      </c>
      <c r="B148" t="s">
        <v>1641</v>
      </c>
      <c r="C148">
        <v>63</v>
      </c>
      <c r="D148" t="s">
        <v>1336</v>
      </c>
      <c r="E148" t="s">
        <v>1365</v>
      </c>
      <c r="F148" t="s">
        <v>1352</v>
      </c>
      <c r="G148">
        <v>7016261392</v>
      </c>
    </row>
    <row r="149" spans="1:7" x14ac:dyDescent="0.3">
      <c r="A149" t="s">
        <v>1220</v>
      </c>
      <c r="B149" t="s">
        <v>1642</v>
      </c>
      <c r="C149">
        <v>37</v>
      </c>
      <c r="D149" t="s">
        <v>1336</v>
      </c>
      <c r="E149" t="s">
        <v>1594</v>
      </c>
      <c r="F149" t="s">
        <v>1445</v>
      </c>
      <c r="G149">
        <v>9424246814</v>
      </c>
    </row>
    <row r="150" spans="1:7" x14ac:dyDescent="0.3">
      <c r="A150" t="s">
        <v>1228</v>
      </c>
      <c r="B150" t="s">
        <v>1643</v>
      </c>
      <c r="C150">
        <v>52</v>
      </c>
      <c r="D150" t="s">
        <v>1328</v>
      </c>
      <c r="E150" t="s">
        <v>1461</v>
      </c>
      <c r="F150" t="s">
        <v>1445</v>
      </c>
      <c r="G150">
        <v>7942660741</v>
      </c>
    </row>
    <row r="151" spans="1:7" x14ac:dyDescent="0.3">
      <c r="A151" t="s">
        <v>142</v>
      </c>
      <c r="B151" t="s">
        <v>1644</v>
      </c>
      <c r="C151">
        <v>29</v>
      </c>
      <c r="D151" t="s">
        <v>1336</v>
      </c>
      <c r="E151" t="s">
        <v>1415</v>
      </c>
      <c r="F151" t="s">
        <v>1348</v>
      </c>
      <c r="G151">
        <v>6787744665</v>
      </c>
    </row>
    <row r="152" spans="1:7" x14ac:dyDescent="0.3">
      <c r="A152" t="s">
        <v>1645</v>
      </c>
      <c r="B152" t="s">
        <v>1646</v>
      </c>
      <c r="C152">
        <v>57</v>
      </c>
      <c r="D152" t="s">
        <v>1328</v>
      </c>
      <c r="E152" t="s">
        <v>1397</v>
      </c>
      <c r="F152" t="s">
        <v>1333</v>
      </c>
      <c r="G152">
        <v>8535784152</v>
      </c>
    </row>
    <row r="153" spans="1:7" x14ac:dyDescent="0.3">
      <c r="A153" t="s">
        <v>1647</v>
      </c>
      <c r="B153" t="s">
        <v>1648</v>
      </c>
      <c r="C153">
        <v>33</v>
      </c>
      <c r="D153" t="s">
        <v>1336</v>
      </c>
      <c r="E153" t="s">
        <v>1649</v>
      </c>
      <c r="F153" t="s">
        <v>1391</v>
      </c>
      <c r="G153">
        <v>8528809467</v>
      </c>
    </row>
    <row r="154" spans="1:7" x14ac:dyDescent="0.3">
      <c r="A154" t="s">
        <v>1014</v>
      </c>
      <c r="B154" t="s">
        <v>1650</v>
      </c>
      <c r="C154">
        <v>40</v>
      </c>
      <c r="D154" t="s">
        <v>1328</v>
      </c>
      <c r="E154" t="s">
        <v>1441</v>
      </c>
      <c r="F154" t="s">
        <v>1394</v>
      </c>
      <c r="G154">
        <v>9672705434</v>
      </c>
    </row>
    <row r="155" spans="1:7" x14ac:dyDescent="0.3">
      <c r="A155" t="s">
        <v>1282</v>
      </c>
      <c r="B155" t="s">
        <v>1651</v>
      </c>
      <c r="C155">
        <v>62</v>
      </c>
      <c r="D155" t="s">
        <v>1336</v>
      </c>
      <c r="E155" t="s">
        <v>1408</v>
      </c>
      <c r="F155" t="s">
        <v>1409</v>
      </c>
      <c r="G155">
        <v>6620586631</v>
      </c>
    </row>
    <row r="156" spans="1:7" x14ac:dyDescent="0.3">
      <c r="A156" t="s">
        <v>170</v>
      </c>
      <c r="B156" t="s">
        <v>1652</v>
      </c>
      <c r="C156">
        <v>36</v>
      </c>
      <c r="D156" t="s">
        <v>1328</v>
      </c>
      <c r="E156" t="s">
        <v>1361</v>
      </c>
      <c r="F156" t="s">
        <v>1362</v>
      </c>
      <c r="G156">
        <v>9265491931</v>
      </c>
    </row>
    <row r="157" spans="1:7" x14ac:dyDescent="0.3">
      <c r="A157" t="s">
        <v>1653</v>
      </c>
      <c r="B157" t="s">
        <v>1654</v>
      </c>
      <c r="C157">
        <v>28</v>
      </c>
      <c r="D157" t="s">
        <v>1336</v>
      </c>
      <c r="E157" t="s">
        <v>1655</v>
      </c>
      <c r="F157" t="s">
        <v>1409</v>
      </c>
      <c r="G157">
        <v>6279190353</v>
      </c>
    </row>
    <row r="158" spans="1:7" x14ac:dyDescent="0.3">
      <c r="A158" t="s">
        <v>1656</v>
      </c>
      <c r="B158" t="s">
        <v>1657</v>
      </c>
      <c r="C158">
        <v>28</v>
      </c>
      <c r="D158" t="s">
        <v>1328</v>
      </c>
      <c r="E158" t="s">
        <v>1337</v>
      </c>
      <c r="F158" t="s">
        <v>1338</v>
      </c>
      <c r="G158">
        <v>7368944180</v>
      </c>
    </row>
    <row r="159" spans="1:7" x14ac:dyDescent="0.3">
      <c r="A159" t="s">
        <v>1658</v>
      </c>
      <c r="B159" t="s">
        <v>1659</v>
      </c>
      <c r="C159">
        <v>38</v>
      </c>
      <c r="D159" t="s">
        <v>1328</v>
      </c>
      <c r="E159" t="s">
        <v>1478</v>
      </c>
      <c r="F159" t="s">
        <v>1391</v>
      </c>
      <c r="G159">
        <v>9199770106</v>
      </c>
    </row>
    <row r="160" spans="1:7" x14ac:dyDescent="0.3">
      <c r="A160" t="s">
        <v>815</v>
      </c>
      <c r="B160" t="s">
        <v>1660</v>
      </c>
      <c r="C160">
        <v>60</v>
      </c>
      <c r="D160" t="s">
        <v>1336</v>
      </c>
      <c r="E160" t="s">
        <v>1403</v>
      </c>
      <c r="F160" t="s">
        <v>1362</v>
      </c>
      <c r="G160">
        <v>9332045932</v>
      </c>
    </row>
    <row r="161" spans="1:7" x14ac:dyDescent="0.3">
      <c r="A161" t="s">
        <v>976</v>
      </c>
      <c r="B161" t="s">
        <v>1661</v>
      </c>
      <c r="C161">
        <v>20</v>
      </c>
      <c r="D161" t="s">
        <v>1336</v>
      </c>
      <c r="E161" t="s">
        <v>1649</v>
      </c>
      <c r="F161" t="s">
        <v>1391</v>
      </c>
      <c r="G161">
        <v>6539277506</v>
      </c>
    </row>
    <row r="162" spans="1:7" x14ac:dyDescent="0.3">
      <c r="A162" t="s">
        <v>589</v>
      </c>
      <c r="B162" t="s">
        <v>1662</v>
      </c>
      <c r="C162">
        <v>44</v>
      </c>
      <c r="D162" t="s">
        <v>1328</v>
      </c>
      <c r="E162" t="s">
        <v>1411</v>
      </c>
      <c r="F162" t="s">
        <v>1356</v>
      </c>
      <c r="G162">
        <v>8711917444</v>
      </c>
    </row>
    <row r="163" spans="1:7" x14ac:dyDescent="0.3">
      <c r="A163" t="s">
        <v>1663</v>
      </c>
      <c r="B163" t="s">
        <v>1664</v>
      </c>
      <c r="C163">
        <v>62</v>
      </c>
      <c r="D163" t="s">
        <v>1328</v>
      </c>
      <c r="E163" t="s">
        <v>1388</v>
      </c>
      <c r="F163" t="s">
        <v>1342</v>
      </c>
      <c r="G163">
        <v>8346183221</v>
      </c>
    </row>
    <row r="164" spans="1:7" x14ac:dyDescent="0.3">
      <c r="A164" t="s">
        <v>1665</v>
      </c>
      <c r="B164" t="s">
        <v>1666</v>
      </c>
      <c r="C164">
        <v>18</v>
      </c>
      <c r="D164" t="s">
        <v>1336</v>
      </c>
      <c r="E164" t="s">
        <v>1483</v>
      </c>
      <c r="F164" t="s">
        <v>1368</v>
      </c>
      <c r="G164">
        <v>7966845256</v>
      </c>
    </row>
    <row r="165" spans="1:7" x14ac:dyDescent="0.3">
      <c r="A165" t="s">
        <v>1232</v>
      </c>
      <c r="B165" t="s">
        <v>1667</v>
      </c>
      <c r="C165">
        <v>25</v>
      </c>
      <c r="D165" t="s">
        <v>1336</v>
      </c>
      <c r="E165" t="s">
        <v>1668</v>
      </c>
      <c r="F165" t="s">
        <v>1445</v>
      </c>
      <c r="G165">
        <v>9490868662</v>
      </c>
    </row>
    <row r="166" spans="1:7" x14ac:dyDescent="0.3">
      <c r="A166" t="s">
        <v>1669</v>
      </c>
      <c r="B166" t="s">
        <v>1670</v>
      </c>
      <c r="C166">
        <v>64</v>
      </c>
      <c r="D166" t="s">
        <v>1336</v>
      </c>
      <c r="E166" t="s">
        <v>1418</v>
      </c>
      <c r="F166" t="s">
        <v>1419</v>
      </c>
      <c r="G166">
        <v>7213040974</v>
      </c>
    </row>
    <row r="167" spans="1:7" x14ac:dyDescent="0.3">
      <c r="A167" t="s">
        <v>1671</v>
      </c>
      <c r="B167" t="s">
        <v>1672</v>
      </c>
      <c r="C167">
        <v>49</v>
      </c>
      <c r="D167" t="s">
        <v>1336</v>
      </c>
      <c r="E167" t="s">
        <v>1388</v>
      </c>
      <c r="F167" t="s">
        <v>1342</v>
      </c>
      <c r="G167">
        <v>7811133278</v>
      </c>
    </row>
    <row r="168" spans="1:7" x14ac:dyDescent="0.3">
      <c r="A168" t="s">
        <v>1673</v>
      </c>
      <c r="B168" t="s">
        <v>1674</v>
      </c>
      <c r="C168">
        <v>61</v>
      </c>
      <c r="D168" t="s">
        <v>1336</v>
      </c>
      <c r="E168" t="s">
        <v>1408</v>
      </c>
      <c r="F168" t="s">
        <v>1409</v>
      </c>
      <c r="G168">
        <v>8220928887</v>
      </c>
    </row>
    <row r="169" spans="1:7" x14ac:dyDescent="0.3">
      <c r="A169" t="s">
        <v>1314</v>
      </c>
      <c r="B169" t="s">
        <v>1675</v>
      </c>
      <c r="C169">
        <v>31</v>
      </c>
      <c r="D169" t="s">
        <v>1336</v>
      </c>
      <c r="E169" t="s">
        <v>1415</v>
      </c>
      <c r="F169" t="s">
        <v>1348</v>
      </c>
      <c r="G169">
        <v>9428721503</v>
      </c>
    </row>
    <row r="170" spans="1:7" x14ac:dyDescent="0.3">
      <c r="A170" t="s">
        <v>859</v>
      </c>
      <c r="B170" t="s">
        <v>1676</v>
      </c>
      <c r="C170">
        <v>52</v>
      </c>
      <c r="D170" t="s">
        <v>1328</v>
      </c>
      <c r="E170" t="s">
        <v>1367</v>
      </c>
      <c r="F170" t="s">
        <v>1368</v>
      </c>
      <c r="G170">
        <v>8015658672</v>
      </c>
    </row>
    <row r="171" spans="1:7" x14ac:dyDescent="0.3">
      <c r="A171" t="s">
        <v>1677</v>
      </c>
      <c r="B171" t="s">
        <v>1678</v>
      </c>
      <c r="C171">
        <v>52</v>
      </c>
      <c r="D171" t="s">
        <v>1328</v>
      </c>
      <c r="E171" t="s">
        <v>1374</v>
      </c>
      <c r="F171" t="s">
        <v>1348</v>
      </c>
      <c r="G171">
        <v>9626146264</v>
      </c>
    </row>
    <row r="172" spans="1:7" x14ac:dyDescent="0.3">
      <c r="A172" t="s">
        <v>1679</v>
      </c>
      <c r="B172" t="s">
        <v>1680</v>
      </c>
      <c r="C172">
        <v>58</v>
      </c>
      <c r="D172" t="s">
        <v>1336</v>
      </c>
      <c r="E172" t="s">
        <v>1655</v>
      </c>
      <c r="F172" t="s">
        <v>1409</v>
      </c>
      <c r="G172">
        <v>6688305701</v>
      </c>
    </row>
    <row r="173" spans="1:7" x14ac:dyDescent="0.3">
      <c r="A173" t="s">
        <v>310</v>
      </c>
      <c r="B173" t="s">
        <v>1681</v>
      </c>
      <c r="C173">
        <v>65</v>
      </c>
      <c r="D173" t="s">
        <v>1336</v>
      </c>
      <c r="E173" t="s">
        <v>1365</v>
      </c>
      <c r="F173" t="s">
        <v>1352</v>
      </c>
      <c r="G173">
        <v>6888985005</v>
      </c>
    </row>
    <row r="174" spans="1:7" x14ac:dyDescent="0.3">
      <c r="A174" t="s">
        <v>690</v>
      </c>
      <c r="B174" t="s">
        <v>1682</v>
      </c>
      <c r="C174">
        <v>54</v>
      </c>
      <c r="D174" t="s">
        <v>1328</v>
      </c>
      <c r="E174" t="s">
        <v>1347</v>
      </c>
      <c r="F174" t="s">
        <v>1348</v>
      </c>
      <c r="G174">
        <v>7202573513</v>
      </c>
    </row>
    <row r="175" spans="1:7" x14ac:dyDescent="0.3">
      <c r="A175" t="s">
        <v>1683</v>
      </c>
      <c r="B175" t="s">
        <v>1684</v>
      </c>
      <c r="C175">
        <v>23</v>
      </c>
      <c r="D175" t="s">
        <v>1336</v>
      </c>
      <c r="E175" t="s">
        <v>1483</v>
      </c>
      <c r="F175" t="s">
        <v>1368</v>
      </c>
      <c r="G175">
        <v>7944625845</v>
      </c>
    </row>
    <row r="176" spans="1:7" x14ac:dyDescent="0.3">
      <c r="A176" t="s">
        <v>1685</v>
      </c>
      <c r="B176" t="s">
        <v>1686</v>
      </c>
      <c r="C176">
        <v>59</v>
      </c>
      <c r="D176" t="s">
        <v>1328</v>
      </c>
      <c r="E176" t="s">
        <v>1463</v>
      </c>
      <c r="F176" t="s">
        <v>1391</v>
      </c>
      <c r="G176">
        <v>6402245164</v>
      </c>
    </row>
    <row r="177" spans="1:7" x14ac:dyDescent="0.3">
      <c r="A177" t="s">
        <v>1687</v>
      </c>
      <c r="B177" t="s">
        <v>1688</v>
      </c>
      <c r="C177">
        <v>21</v>
      </c>
      <c r="D177" t="s">
        <v>1336</v>
      </c>
      <c r="E177" t="s">
        <v>1397</v>
      </c>
      <c r="F177" t="s">
        <v>1333</v>
      </c>
      <c r="G177">
        <v>9062499808</v>
      </c>
    </row>
    <row r="178" spans="1:7" x14ac:dyDescent="0.3">
      <c r="A178" t="s">
        <v>1689</v>
      </c>
      <c r="B178" t="s">
        <v>1690</v>
      </c>
      <c r="C178">
        <v>49</v>
      </c>
      <c r="D178" t="s">
        <v>1328</v>
      </c>
      <c r="E178" t="s">
        <v>1358</v>
      </c>
      <c r="F178" t="s">
        <v>1356</v>
      </c>
      <c r="G178">
        <v>9109430762</v>
      </c>
    </row>
    <row r="179" spans="1:7" x14ac:dyDescent="0.3">
      <c r="A179" t="s">
        <v>1691</v>
      </c>
      <c r="B179" t="s">
        <v>1692</v>
      </c>
      <c r="C179">
        <v>59</v>
      </c>
      <c r="D179" t="s">
        <v>1336</v>
      </c>
      <c r="E179" t="s">
        <v>1390</v>
      </c>
      <c r="F179" t="s">
        <v>1391</v>
      </c>
      <c r="G179">
        <v>6789036929</v>
      </c>
    </row>
    <row r="180" spans="1:7" x14ac:dyDescent="0.3">
      <c r="A180" t="s">
        <v>474</v>
      </c>
      <c r="B180" t="s">
        <v>1693</v>
      </c>
      <c r="C180">
        <v>29</v>
      </c>
      <c r="D180" t="s">
        <v>1336</v>
      </c>
      <c r="E180" t="s">
        <v>1517</v>
      </c>
      <c r="F180" t="s">
        <v>1362</v>
      </c>
      <c r="G180">
        <v>7437639263</v>
      </c>
    </row>
    <row r="181" spans="1:7" x14ac:dyDescent="0.3">
      <c r="A181" t="s">
        <v>1694</v>
      </c>
      <c r="B181" t="s">
        <v>1695</v>
      </c>
      <c r="C181">
        <v>36</v>
      </c>
      <c r="D181" t="s">
        <v>1328</v>
      </c>
      <c r="E181" t="s">
        <v>1649</v>
      </c>
      <c r="F181" t="s">
        <v>1391</v>
      </c>
      <c r="G181">
        <v>7678367714</v>
      </c>
    </row>
    <row r="182" spans="1:7" x14ac:dyDescent="0.3">
      <c r="A182" t="s">
        <v>462</v>
      </c>
      <c r="B182" t="s">
        <v>1696</v>
      </c>
      <c r="C182">
        <v>42</v>
      </c>
      <c r="D182" t="s">
        <v>1328</v>
      </c>
      <c r="E182" t="s">
        <v>1430</v>
      </c>
      <c r="F182" t="s">
        <v>1330</v>
      </c>
      <c r="G182">
        <v>8643937326</v>
      </c>
    </row>
    <row r="183" spans="1:7" x14ac:dyDescent="0.3">
      <c r="A183" t="s">
        <v>1697</v>
      </c>
      <c r="B183" t="s">
        <v>1698</v>
      </c>
      <c r="C183">
        <v>60</v>
      </c>
      <c r="D183" t="s">
        <v>1336</v>
      </c>
      <c r="E183" t="s">
        <v>1413</v>
      </c>
      <c r="F183" t="s">
        <v>1348</v>
      </c>
      <c r="G183">
        <v>8503330747</v>
      </c>
    </row>
    <row r="184" spans="1:7" x14ac:dyDescent="0.3">
      <c r="A184" t="s">
        <v>406</v>
      </c>
      <c r="B184" t="s">
        <v>1699</v>
      </c>
      <c r="C184">
        <v>47</v>
      </c>
      <c r="D184" t="s">
        <v>1328</v>
      </c>
      <c r="E184" t="s">
        <v>1403</v>
      </c>
      <c r="F184" t="s">
        <v>1362</v>
      </c>
      <c r="G184">
        <v>8840183513</v>
      </c>
    </row>
    <row r="185" spans="1:7" x14ac:dyDescent="0.3">
      <c r="A185" t="s">
        <v>1700</v>
      </c>
      <c r="B185" t="s">
        <v>1701</v>
      </c>
      <c r="C185">
        <v>20</v>
      </c>
      <c r="D185" t="s">
        <v>1328</v>
      </c>
      <c r="E185" t="s">
        <v>1332</v>
      </c>
      <c r="F185" t="s">
        <v>1333</v>
      </c>
      <c r="G185">
        <v>8457488526</v>
      </c>
    </row>
    <row r="186" spans="1:7" x14ac:dyDescent="0.3">
      <c r="A186" t="s">
        <v>1702</v>
      </c>
      <c r="B186" t="s">
        <v>1703</v>
      </c>
      <c r="C186">
        <v>33</v>
      </c>
      <c r="D186" t="s">
        <v>1336</v>
      </c>
      <c r="E186" t="s">
        <v>1361</v>
      </c>
      <c r="F186" t="s">
        <v>1362</v>
      </c>
      <c r="G186">
        <v>9218660858</v>
      </c>
    </row>
    <row r="187" spans="1:7" x14ac:dyDescent="0.3">
      <c r="A187" t="s">
        <v>1242</v>
      </c>
      <c r="B187" t="s">
        <v>1704</v>
      </c>
      <c r="C187">
        <v>53</v>
      </c>
      <c r="D187" t="s">
        <v>1328</v>
      </c>
      <c r="E187" t="s">
        <v>1594</v>
      </c>
      <c r="F187" t="s">
        <v>1445</v>
      </c>
      <c r="G187">
        <v>9087173031</v>
      </c>
    </row>
    <row r="188" spans="1:7" x14ac:dyDescent="0.3">
      <c r="A188" t="s">
        <v>1705</v>
      </c>
      <c r="B188" t="s">
        <v>1706</v>
      </c>
      <c r="C188">
        <v>21</v>
      </c>
      <c r="D188" t="s">
        <v>1328</v>
      </c>
      <c r="E188" t="s">
        <v>1563</v>
      </c>
      <c r="F188" t="s">
        <v>1356</v>
      </c>
      <c r="G188">
        <v>7170287837</v>
      </c>
    </row>
    <row r="189" spans="1:7" x14ac:dyDescent="0.3">
      <c r="A189" t="s">
        <v>1707</v>
      </c>
      <c r="B189" t="s">
        <v>1708</v>
      </c>
      <c r="C189">
        <v>37</v>
      </c>
      <c r="D189" t="s">
        <v>1328</v>
      </c>
      <c r="E189" t="s">
        <v>1365</v>
      </c>
      <c r="F189" t="s">
        <v>1352</v>
      </c>
      <c r="G189">
        <v>7498838444</v>
      </c>
    </row>
    <row r="190" spans="1:7" x14ac:dyDescent="0.3">
      <c r="A190" t="s">
        <v>419</v>
      </c>
      <c r="B190" t="s">
        <v>1709</v>
      </c>
      <c r="C190">
        <v>37</v>
      </c>
      <c r="D190" t="s">
        <v>1328</v>
      </c>
      <c r="E190" t="s">
        <v>1438</v>
      </c>
      <c r="F190" t="s">
        <v>1419</v>
      </c>
      <c r="G190">
        <v>8600387898</v>
      </c>
    </row>
    <row r="191" spans="1:7" x14ac:dyDescent="0.3">
      <c r="A191" t="s">
        <v>1104</v>
      </c>
      <c r="B191" t="s">
        <v>1710</v>
      </c>
      <c r="C191">
        <v>56</v>
      </c>
      <c r="D191" t="s">
        <v>1328</v>
      </c>
      <c r="E191" t="s">
        <v>1511</v>
      </c>
      <c r="F191" t="s">
        <v>1419</v>
      </c>
      <c r="G191">
        <v>9132034002</v>
      </c>
    </row>
    <row r="192" spans="1:7" x14ac:dyDescent="0.3">
      <c r="A192" t="s">
        <v>1711</v>
      </c>
      <c r="B192" t="s">
        <v>1712</v>
      </c>
      <c r="C192">
        <v>24</v>
      </c>
      <c r="D192" t="s">
        <v>1328</v>
      </c>
      <c r="E192" t="s">
        <v>1713</v>
      </c>
      <c r="F192" t="s">
        <v>1409</v>
      </c>
      <c r="G192">
        <v>8373153860</v>
      </c>
    </row>
    <row r="193" spans="1:7" x14ac:dyDescent="0.3">
      <c r="A193" t="s">
        <v>1046</v>
      </c>
      <c r="B193" t="s">
        <v>1714</v>
      </c>
      <c r="C193">
        <v>59</v>
      </c>
      <c r="D193" t="s">
        <v>1336</v>
      </c>
      <c r="E193" t="s">
        <v>1438</v>
      </c>
      <c r="F193" t="s">
        <v>1419</v>
      </c>
      <c r="G193">
        <v>7425011412</v>
      </c>
    </row>
    <row r="194" spans="1:7" x14ac:dyDescent="0.3">
      <c r="A194" t="s">
        <v>1715</v>
      </c>
      <c r="B194" t="s">
        <v>1716</v>
      </c>
      <c r="C194">
        <v>28</v>
      </c>
      <c r="D194" t="s">
        <v>1328</v>
      </c>
      <c r="E194" t="s">
        <v>1655</v>
      </c>
      <c r="F194" t="s">
        <v>1409</v>
      </c>
      <c r="G194">
        <v>8039295739</v>
      </c>
    </row>
    <row r="195" spans="1:7" x14ac:dyDescent="0.3">
      <c r="A195" t="s">
        <v>1072</v>
      </c>
      <c r="B195" t="s">
        <v>1717</v>
      </c>
      <c r="C195">
        <v>49</v>
      </c>
      <c r="D195" t="s">
        <v>1336</v>
      </c>
      <c r="E195" t="s">
        <v>1504</v>
      </c>
      <c r="F195" t="s">
        <v>1394</v>
      </c>
      <c r="G195">
        <v>8423969126</v>
      </c>
    </row>
    <row r="196" spans="1:7" x14ac:dyDescent="0.3">
      <c r="A196" t="s">
        <v>825</v>
      </c>
      <c r="B196" t="s">
        <v>1718</v>
      </c>
      <c r="C196">
        <v>41</v>
      </c>
      <c r="D196" t="s">
        <v>1336</v>
      </c>
      <c r="E196" t="s">
        <v>1432</v>
      </c>
      <c r="F196" t="s">
        <v>1342</v>
      </c>
      <c r="G196">
        <v>9960455197</v>
      </c>
    </row>
    <row r="197" spans="1:7" x14ac:dyDescent="0.3">
      <c r="A197" t="s">
        <v>1719</v>
      </c>
      <c r="B197" t="s">
        <v>1720</v>
      </c>
      <c r="C197">
        <v>59</v>
      </c>
      <c r="D197" t="s">
        <v>1336</v>
      </c>
      <c r="E197" t="s">
        <v>1563</v>
      </c>
      <c r="F197" t="s">
        <v>1356</v>
      </c>
      <c r="G197">
        <v>9389967630</v>
      </c>
    </row>
    <row r="198" spans="1:7" x14ac:dyDescent="0.3">
      <c r="A198" t="s">
        <v>1721</v>
      </c>
      <c r="B198" t="s">
        <v>1722</v>
      </c>
      <c r="C198">
        <v>51</v>
      </c>
      <c r="D198" t="s">
        <v>1328</v>
      </c>
      <c r="E198" t="s">
        <v>1475</v>
      </c>
      <c r="F198" t="s">
        <v>1419</v>
      </c>
      <c r="G198">
        <v>9282510913</v>
      </c>
    </row>
    <row r="199" spans="1:7" x14ac:dyDescent="0.3">
      <c r="A199" t="s">
        <v>1723</v>
      </c>
      <c r="B199" t="s">
        <v>1724</v>
      </c>
      <c r="C199">
        <v>42</v>
      </c>
      <c r="D199" t="s">
        <v>1336</v>
      </c>
      <c r="E199" t="s">
        <v>1425</v>
      </c>
      <c r="F199" t="s">
        <v>1409</v>
      </c>
      <c r="G199">
        <v>7572871965</v>
      </c>
    </row>
    <row r="200" spans="1:7" x14ac:dyDescent="0.3">
      <c r="A200" t="s">
        <v>1725</v>
      </c>
      <c r="B200" t="s">
        <v>1726</v>
      </c>
      <c r="C200">
        <v>64</v>
      </c>
      <c r="D200" t="s">
        <v>1336</v>
      </c>
      <c r="E200" t="s">
        <v>1374</v>
      </c>
      <c r="F200" t="s">
        <v>1348</v>
      </c>
      <c r="G200">
        <v>8954557899</v>
      </c>
    </row>
    <row r="201" spans="1:7" x14ac:dyDescent="0.3">
      <c r="A201" t="s">
        <v>1727</v>
      </c>
      <c r="B201" t="s">
        <v>1728</v>
      </c>
      <c r="C201">
        <v>34</v>
      </c>
      <c r="D201" t="s">
        <v>1336</v>
      </c>
      <c r="E201" t="s">
        <v>1637</v>
      </c>
      <c r="F201" t="s">
        <v>1368</v>
      </c>
      <c r="G201">
        <v>7652221998</v>
      </c>
    </row>
    <row r="202" spans="1:7" x14ac:dyDescent="0.3">
      <c r="A202" t="s">
        <v>1729</v>
      </c>
      <c r="B202" t="s">
        <v>1730</v>
      </c>
      <c r="C202">
        <v>29</v>
      </c>
      <c r="D202" t="s">
        <v>1328</v>
      </c>
      <c r="E202" t="s">
        <v>1649</v>
      </c>
      <c r="F202" t="s">
        <v>1391</v>
      </c>
      <c r="G202">
        <v>7649696715</v>
      </c>
    </row>
    <row r="203" spans="1:7" x14ac:dyDescent="0.3">
      <c r="A203" t="s">
        <v>1731</v>
      </c>
      <c r="B203" t="s">
        <v>1732</v>
      </c>
      <c r="C203">
        <v>46</v>
      </c>
      <c r="D203" t="s">
        <v>1328</v>
      </c>
      <c r="E203" t="s">
        <v>1393</v>
      </c>
      <c r="F203" t="s">
        <v>1394</v>
      </c>
      <c r="G203">
        <v>8388828709</v>
      </c>
    </row>
    <row r="204" spans="1:7" x14ac:dyDescent="0.3">
      <c r="A204" t="s">
        <v>1733</v>
      </c>
      <c r="B204" t="s">
        <v>1734</v>
      </c>
      <c r="C204">
        <v>49</v>
      </c>
      <c r="D204" t="s">
        <v>1336</v>
      </c>
      <c r="E204" t="s">
        <v>1393</v>
      </c>
      <c r="F204" t="s">
        <v>1394</v>
      </c>
      <c r="G204">
        <v>8025545921</v>
      </c>
    </row>
    <row r="205" spans="1:7" x14ac:dyDescent="0.3">
      <c r="A205" t="s">
        <v>1735</v>
      </c>
      <c r="B205" t="s">
        <v>1736</v>
      </c>
      <c r="C205">
        <v>42</v>
      </c>
      <c r="D205" t="s">
        <v>1328</v>
      </c>
      <c r="E205" t="s">
        <v>1422</v>
      </c>
      <c r="F205" t="s">
        <v>1330</v>
      </c>
      <c r="G205">
        <v>9224461486</v>
      </c>
    </row>
    <row r="206" spans="1:7" x14ac:dyDescent="0.3">
      <c r="A206" t="s">
        <v>1737</v>
      </c>
      <c r="B206" t="s">
        <v>1738</v>
      </c>
      <c r="C206">
        <v>50</v>
      </c>
      <c r="D206" t="s">
        <v>1328</v>
      </c>
      <c r="E206" t="s">
        <v>1501</v>
      </c>
      <c r="F206" t="s">
        <v>1394</v>
      </c>
      <c r="G206">
        <v>7199810385</v>
      </c>
    </row>
    <row r="207" spans="1:7" x14ac:dyDescent="0.3">
      <c r="A207" t="s">
        <v>1739</v>
      </c>
      <c r="B207" t="s">
        <v>1740</v>
      </c>
      <c r="C207">
        <v>51</v>
      </c>
      <c r="D207" t="s">
        <v>1328</v>
      </c>
      <c r="E207" t="s">
        <v>1511</v>
      </c>
      <c r="F207" t="s">
        <v>1419</v>
      </c>
      <c r="G207">
        <v>9366376303</v>
      </c>
    </row>
    <row r="208" spans="1:7" x14ac:dyDescent="0.3">
      <c r="A208" t="s">
        <v>819</v>
      </c>
      <c r="B208" t="s">
        <v>1741</v>
      </c>
      <c r="C208">
        <v>59</v>
      </c>
      <c r="D208" t="s">
        <v>1328</v>
      </c>
      <c r="E208" t="s">
        <v>1568</v>
      </c>
      <c r="F208" t="s">
        <v>1445</v>
      </c>
      <c r="G208">
        <v>6659095459</v>
      </c>
    </row>
    <row r="209" spans="1:7" x14ac:dyDescent="0.3">
      <c r="A209" t="s">
        <v>1742</v>
      </c>
      <c r="B209" t="s">
        <v>1743</v>
      </c>
      <c r="C209">
        <v>64</v>
      </c>
      <c r="D209" t="s">
        <v>1328</v>
      </c>
      <c r="E209" t="s">
        <v>1329</v>
      </c>
      <c r="F209" t="s">
        <v>1330</v>
      </c>
      <c r="G209">
        <v>7100247631</v>
      </c>
    </row>
    <row r="210" spans="1:7" x14ac:dyDescent="0.3">
      <c r="A210" t="s">
        <v>208</v>
      </c>
      <c r="B210" t="s">
        <v>1744</v>
      </c>
      <c r="C210">
        <v>43</v>
      </c>
      <c r="D210" t="s">
        <v>1328</v>
      </c>
      <c r="E210" t="s">
        <v>1390</v>
      </c>
      <c r="F210" t="s">
        <v>1391</v>
      </c>
      <c r="G210">
        <v>9857720510</v>
      </c>
    </row>
    <row r="211" spans="1:7" x14ac:dyDescent="0.3">
      <c r="A211" t="s">
        <v>1312</v>
      </c>
      <c r="B211" t="s">
        <v>1745</v>
      </c>
      <c r="C211">
        <v>25</v>
      </c>
      <c r="D211" t="s">
        <v>1336</v>
      </c>
      <c r="E211" t="s">
        <v>1438</v>
      </c>
      <c r="F211" t="s">
        <v>1419</v>
      </c>
      <c r="G211">
        <v>9419036968</v>
      </c>
    </row>
    <row r="212" spans="1:7" x14ac:dyDescent="0.3">
      <c r="A212" t="s">
        <v>984</v>
      </c>
      <c r="B212" t="s">
        <v>1746</v>
      </c>
      <c r="C212">
        <v>65</v>
      </c>
      <c r="D212" t="s">
        <v>1328</v>
      </c>
      <c r="E212" t="s">
        <v>1747</v>
      </c>
      <c r="F212" t="s">
        <v>1391</v>
      </c>
      <c r="G212">
        <v>9256748117</v>
      </c>
    </row>
    <row r="213" spans="1:7" x14ac:dyDescent="0.3">
      <c r="A213" t="s">
        <v>541</v>
      </c>
      <c r="B213" t="s">
        <v>1748</v>
      </c>
      <c r="C213">
        <v>28</v>
      </c>
      <c r="D213" t="s">
        <v>1328</v>
      </c>
      <c r="E213" t="s">
        <v>1602</v>
      </c>
      <c r="F213" t="s">
        <v>1400</v>
      </c>
      <c r="G213">
        <v>6636593110</v>
      </c>
    </row>
    <row r="214" spans="1:7" x14ac:dyDescent="0.3">
      <c r="A214" t="s">
        <v>1749</v>
      </c>
      <c r="B214" t="s">
        <v>1750</v>
      </c>
      <c r="C214">
        <v>47</v>
      </c>
      <c r="D214" t="s">
        <v>1328</v>
      </c>
      <c r="E214" t="s">
        <v>1517</v>
      </c>
      <c r="F214" t="s">
        <v>1362</v>
      </c>
      <c r="G214">
        <v>6174098929</v>
      </c>
    </row>
    <row r="215" spans="1:7" x14ac:dyDescent="0.3">
      <c r="A215" t="s">
        <v>887</v>
      </c>
      <c r="B215" t="s">
        <v>1751</v>
      </c>
      <c r="C215">
        <v>34</v>
      </c>
      <c r="D215" t="s">
        <v>1328</v>
      </c>
      <c r="E215" t="s">
        <v>1599</v>
      </c>
      <c r="F215" t="s">
        <v>1400</v>
      </c>
      <c r="G215">
        <v>9833523885</v>
      </c>
    </row>
    <row r="216" spans="1:7" x14ac:dyDescent="0.3">
      <c r="A216" t="s">
        <v>702</v>
      </c>
      <c r="B216" t="s">
        <v>1752</v>
      </c>
      <c r="C216">
        <v>64</v>
      </c>
      <c r="D216" t="s">
        <v>1328</v>
      </c>
      <c r="E216" t="s">
        <v>1430</v>
      </c>
      <c r="F216" t="s">
        <v>1330</v>
      </c>
      <c r="G216">
        <v>6622215640</v>
      </c>
    </row>
    <row r="217" spans="1:7" x14ac:dyDescent="0.3">
      <c r="A217" t="s">
        <v>1753</v>
      </c>
      <c r="B217" t="s">
        <v>1754</v>
      </c>
      <c r="C217">
        <v>48</v>
      </c>
      <c r="D217" t="s">
        <v>1328</v>
      </c>
      <c r="E217" t="s">
        <v>1668</v>
      </c>
      <c r="F217" t="s">
        <v>1445</v>
      </c>
      <c r="G217">
        <v>9320061939</v>
      </c>
    </row>
    <row r="218" spans="1:7" x14ac:dyDescent="0.3">
      <c r="A218" t="s">
        <v>1755</v>
      </c>
      <c r="B218" t="s">
        <v>1756</v>
      </c>
      <c r="C218">
        <v>52</v>
      </c>
      <c r="D218" t="s">
        <v>1336</v>
      </c>
      <c r="E218" t="s">
        <v>1649</v>
      </c>
      <c r="F218" t="s">
        <v>1391</v>
      </c>
      <c r="G218">
        <v>8017279181</v>
      </c>
    </row>
    <row r="219" spans="1:7" x14ac:dyDescent="0.3">
      <c r="A219" t="s">
        <v>1757</v>
      </c>
      <c r="B219" t="s">
        <v>1758</v>
      </c>
      <c r="C219">
        <v>64</v>
      </c>
      <c r="D219" t="s">
        <v>1328</v>
      </c>
      <c r="E219" t="s">
        <v>1383</v>
      </c>
      <c r="F219" t="s">
        <v>1338</v>
      </c>
      <c r="G219">
        <v>8080987279</v>
      </c>
    </row>
    <row r="220" spans="1:7" x14ac:dyDescent="0.3">
      <c r="A220" t="s">
        <v>928</v>
      </c>
      <c r="B220" t="s">
        <v>1759</v>
      </c>
      <c r="C220">
        <v>21</v>
      </c>
      <c r="D220" t="s">
        <v>1328</v>
      </c>
      <c r="E220" t="s">
        <v>1381</v>
      </c>
      <c r="F220" t="s">
        <v>1352</v>
      </c>
      <c r="G220">
        <v>6995005782</v>
      </c>
    </row>
    <row r="221" spans="1:7" x14ac:dyDescent="0.3">
      <c r="A221" t="s">
        <v>988</v>
      </c>
      <c r="B221" t="s">
        <v>1760</v>
      </c>
      <c r="C221">
        <v>47</v>
      </c>
      <c r="D221" t="s">
        <v>1328</v>
      </c>
      <c r="E221" t="s">
        <v>1649</v>
      </c>
      <c r="F221" t="s">
        <v>1391</v>
      </c>
      <c r="G221">
        <v>8595802129</v>
      </c>
    </row>
    <row r="222" spans="1:7" x14ac:dyDescent="0.3">
      <c r="A222" t="s">
        <v>1761</v>
      </c>
      <c r="B222" t="s">
        <v>1762</v>
      </c>
      <c r="C222">
        <v>25</v>
      </c>
      <c r="D222" t="s">
        <v>1336</v>
      </c>
      <c r="E222" t="s">
        <v>1498</v>
      </c>
      <c r="F222" t="s">
        <v>1362</v>
      </c>
      <c r="G222">
        <v>9978635552</v>
      </c>
    </row>
    <row r="223" spans="1:7" x14ac:dyDescent="0.3">
      <c r="A223" t="s">
        <v>1020</v>
      </c>
      <c r="B223" t="s">
        <v>1763</v>
      </c>
      <c r="C223">
        <v>52</v>
      </c>
      <c r="D223" t="s">
        <v>1336</v>
      </c>
      <c r="E223" t="s">
        <v>1542</v>
      </c>
      <c r="F223" t="s">
        <v>1409</v>
      </c>
      <c r="G223">
        <v>6559162219</v>
      </c>
    </row>
    <row r="224" spans="1:7" x14ac:dyDescent="0.3">
      <c r="A224" t="s">
        <v>1764</v>
      </c>
      <c r="B224" t="s">
        <v>1765</v>
      </c>
      <c r="C224">
        <v>26</v>
      </c>
      <c r="D224" t="s">
        <v>1328</v>
      </c>
      <c r="E224" t="s">
        <v>1501</v>
      </c>
      <c r="F224" t="s">
        <v>1394</v>
      </c>
      <c r="G224">
        <v>9353569594</v>
      </c>
    </row>
    <row r="225" spans="1:7" x14ac:dyDescent="0.3">
      <c r="A225" t="s">
        <v>1152</v>
      </c>
      <c r="B225" t="s">
        <v>1766</v>
      </c>
      <c r="C225">
        <v>27</v>
      </c>
      <c r="D225" t="s">
        <v>1336</v>
      </c>
      <c r="E225" t="s">
        <v>1399</v>
      </c>
      <c r="F225" t="s">
        <v>1400</v>
      </c>
      <c r="G225">
        <v>7224454032</v>
      </c>
    </row>
    <row r="226" spans="1:7" x14ac:dyDescent="0.3">
      <c r="A226" t="s">
        <v>1767</v>
      </c>
      <c r="B226" t="s">
        <v>1768</v>
      </c>
      <c r="C226">
        <v>50</v>
      </c>
      <c r="D226" t="s">
        <v>1336</v>
      </c>
      <c r="E226" t="s">
        <v>1345</v>
      </c>
      <c r="F226" t="s">
        <v>1330</v>
      </c>
      <c r="G226">
        <v>6698836485</v>
      </c>
    </row>
    <row r="227" spans="1:7" x14ac:dyDescent="0.3">
      <c r="A227" t="s">
        <v>78</v>
      </c>
      <c r="B227" t="s">
        <v>1769</v>
      </c>
      <c r="C227">
        <v>36</v>
      </c>
      <c r="D227" t="s">
        <v>1336</v>
      </c>
      <c r="E227" t="s">
        <v>1770</v>
      </c>
      <c r="F227" t="s">
        <v>1400</v>
      </c>
      <c r="G227">
        <v>7324637551</v>
      </c>
    </row>
    <row r="228" spans="1:7" x14ac:dyDescent="0.3">
      <c r="A228" t="s">
        <v>658</v>
      </c>
      <c r="B228" t="s">
        <v>1771</v>
      </c>
      <c r="C228">
        <v>31</v>
      </c>
      <c r="D228" t="s">
        <v>1328</v>
      </c>
      <c r="E228" t="s">
        <v>1386</v>
      </c>
      <c r="F228" t="s">
        <v>1338</v>
      </c>
      <c r="G228">
        <v>7644348065</v>
      </c>
    </row>
    <row r="229" spans="1:7" x14ac:dyDescent="0.3">
      <c r="A229" t="s">
        <v>751</v>
      </c>
      <c r="B229" t="s">
        <v>1772</v>
      </c>
      <c r="C229">
        <v>35</v>
      </c>
      <c r="D229" t="s">
        <v>1336</v>
      </c>
      <c r="E229" t="s">
        <v>1408</v>
      </c>
      <c r="F229" t="s">
        <v>1409</v>
      </c>
      <c r="G229">
        <v>9835003531</v>
      </c>
    </row>
    <row r="230" spans="1:7" x14ac:dyDescent="0.3">
      <c r="A230" t="s">
        <v>1773</v>
      </c>
      <c r="B230" t="s">
        <v>1774</v>
      </c>
      <c r="C230">
        <v>22</v>
      </c>
      <c r="D230" t="s">
        <v>1328</v>
      </c>
      <c r="E230" t="s">
        <v>1358</v>
      </c>
      <c r="F230" t="s">
        <v>1356</v>
      </c>
      <c r="G230">
        <v>6115482749</v>
      </c>
    </row>
    <row r="231" spans="1:7" x14ac:dyDescent="0.3">
      <c r="A231" t="s">
        <v>1775</v>
      </c>
      <c r="B231" t="s">
        <v>1776</v>
      </c>
      <c r="C231">
        <v>19</v>
      </c>
      <c r="D231" t="s">
        <v>1336</v>
      </c>
      <c r="E231" t="s">
        <v>1461</v>
      </c>
      <c r="F231" t="s">
        <v>1445</v>
      </c>
      <c r="G231">
        <v>6971283559</v>
      </c>
    </row>
    <row r="232" spans="1:7" x14ac:dyDescent="0.3">
      <c r="A232" t="s">
        <v>1196</v>
      </c>
      <c r="B232" t="s">
        <v>1777</v>
      </c>
      <c r="C232">
        <v>60</v>
      </c>
      <c r="D232" t="s">
        <v>1328</v>
      </c>
      <c r="E232" t="s">
        <v>1345</v>
      </c>
      <c r="F232" t="s">
        <v>1330</v>
      </c>
      <c r="G232">
        <v>7295318866</v>
      </c>
    </row>
    <row r="233" spans="1:7" x14ac:dyDescent="0.3">
      <c r="A233" t="s">
        <v>1778</v>
      </c>
      <c r="B233" t="s">
        <v>1779</v>
      </c>
      <c r="C233">
        <v>36</v>
      </c>
      <c r="D233" t="s">
        <v>1328</v>
      </c>
      <c r="E233" t="s">
        <v>1332</v>
      </c>
      <c r="F233" t="s">
        <v>1333</v>
      </c>
      <c r="G233">
        <v>6881274082</v>
      </c>
    </row>
    <row r="234" spans="1:7" x14ac:dyDescent="0.3">
      <c r="A234" t="s">
        <v>1780</v>
      </c>
      <c r="B234" t="s">
        <v>1781</v>
      </c>
      <c r="C234">
        <v>46</v>
      </c>
      <c r="D234" t="s">
        <v>1328</v>
      </c>
      <c r="E234" t="s">
        <v>1602</v>
      </c>
      <c r="F234" t="s">
        <v>1400</v>
      </c>
      <c r="G234">
        <v>6690341463</v>
      </c>
    </row>
    <row r="235" spans="1:7" x14ac:dyDescent="0.3">
      <c r="A235" t="s">
        <v>564</v>
      </c>
      <c r="B235" t="s">
        <v>1782</v>
      </c>
      <c r="C235">
        <v>57</v>
      </c>
      <c r="D235" t="s">
        <v>1336</v>
      </c>
      <c r="E235" t="s">
        <v>1388</v>
      </c>
      <c r="F235" t="s">
        <v>1342</v>
      </c>
      <c r="G235">
        <v>7653380561</v>
      </c>
    </row>
    <row r="236" spans="1:7" x14ac:dyDescent="0.3">
      <c r="A236" t="s">
        <v>1783</v>
      </c>
      <c r="B236" t="s">
        <v>1784</v>
      </c>
      <c r="C236">
        <v>64</v>
      </c>
      <c r="D236" t="s">
        <v>1328</v>
      </c>
      <c r="E236" t="s">
        <v>1432</v>
      </c>
      <c r="F236" t="s">
        <v>1342</v>
      </c>
      <c r="G236">
        <v>9490668416</v>
      </c>
    </row>
    <row r="237" spans="1:7" x14ac:dyDescent="0.3">
      <c r="A237" t="s">
        <v>1785</v>
      </c>
      <c r="B237" t="s">
        <v>1786</v>
      </c>
      <c r="C237">
        <v>37</v>
      </c>
      <c r="D237" t="s">
        <v>1336</v>
      </c>
      <c r="E237" t="s">
        <v>1602</v>
      </c>
      <c r="F237" t="s">
        <v>1400</v>
      </c>
      <c r="G237">
        <v>6575857470</v>
      </c>
    </row>
    <row r="238" spans="1:7" x14ac:dyDescent="0.3">
      <c r="A238" t="s">
        <v>749</v>
      </c>
      <c r="B238" t="s">
        <v>1787</v>
      </c>
      <c r="C238">
        <v>30</v>
      </c>
      <c r="D238" t="s">
        <v>1328</v>
      </c>
      <c r="E238" t="s">
        <v>1463</v>
      </c>
      <c r="F238" t="s">
        <v>1391</v>
      </c>
      <c r="G238">
        <v>7757823103</v>
      </c>
    </row>
    <row r="239" spans="1:7" x14ac:dyDescent="0.3">
      <c r="A239" t="s">
        <v>1788</v>
      </c>
      <c r="B239" t="s">
        <v>1789</v>
      </c>
      <c r="C239">
        <v>22</v>
      </c>
      <c r="D239" t="s">
        <v>1328</v>
      </c>
      <c r="E239" t="s">
        <v>1374</v>
      </c>
      <c r="F239" t="s">
        <v>1348</v>
      </c>
      <c r="G239">
        <v>7063428820</v>
      </c>
    </row>
    <row r="240" spans="1:7" x14ac:dyDescent="0.3">
      <c r="A240" t="s">
        <v>829</v>
      </c>
      <c r="B240" t="s">
        <v>1790</v>
      </c>
      <c r="C240">
        <v>59</v>
      </c>
      <c r="D240" t="s">
        <v>1328</v>
      </c>
      <c r="E240" t="s">
        <v>1383</v>
      </c>
      <c r="F240" t="s">
        <v>1338</v>
      </c>
      <c r="G240">
        <v>8071546525</v>
      </c>
    </row>
    <row r="241" spans="1:7" x14ac:dyDescent="0.3">
      <c r="A241" t="s">
        <v>1791</v>
      </c>
      <c r="B241" t="s">
        <v>1792</v>
      </c>
      <c r="C241">
        <v>48</v>
      </c>
      <c r="D241" t="s">
        <v>1336</v>
      </c>
      <c r="E241" t="s">
        <v>1563</v>
      </c>
      <c r="F241" t="s">
        <v>1356</v>
      </c>
      <c r="G241">
        <v>8301735325</v>
      </c>
    </row>
    <row r="242" spans="1:7" x14ac:dyDescent="0.3">
      <c r="A242" t="s">
        <v>436</v>
      </c>
      <c r="B242" t="s">
        <v>1793</v>
      </c>
      <c r="C242">
        <v>33</v>
      </c>
      <c r="D242" t="s">
        <v>1336</v>
      </c>
      <c r="E242" t="s">
        <v>1463</v>
      </c>
      <c r="F242" t="s">
        <v>1391</v>
      </c>
      <c r="G242">
        <v>9715157884</v>
      </c>
    </row>
    <row r="243" spans="1:7" x14ac:dyDescent="0.3">
      <c r="A243" t="s">
        <v>1794</v>
      </c>
      <c r="B243" t="s">
        <v>1795</v>
      </c>
      <c r="C243">
        <v>29</v>
      </c>
      <c r="D243" t="s">
        <v>1328</v>
      </c>
      <c r="E243" t="s">
        <v>1563</v>
      </c>
      <c r="F243" t="s">
        <v>1356</v>
      </c>
      <c r="G243">
        <v>7125373174</v>
      </c>
    </row>
    <row r="244" spans="1:7" x14ac:dyDescent="0.3">
      <c r="A244" t="s">
        <v>614</v>
      </c>
      <c r="B244" t="s">
        <v>1796</v>
      </c>
      <c r="C244">
        <v>51</v>
      </c>
      <c r="D244" t="s">
        <v>1328</v>
      </c>
      <c r="E244" t="s">
        <v>1337</v>
      </c>
      <c r="F244" t="s">
        <v>1338</v>
      </c>
      <c r="G244">
        <v>9097724630</v>
      </c>
    </row>
    <row r="245" spans="1:7" x14ac:dyDescent="0.3">
      <c r="A245" t="s">
        <v>1797</v>
      </c>
      <c r="B245" t="s">
        <v>1798</v>
      </c>
      <c r="C245">
        <v>51</v>
      </c>
      <c r="D245" t="s">
        <v>1328</v>
      </c>
      <c r="E245" t="s">
        <v>1655</v>
      </c>
      <c r="F245" t="s">
        <v>1409</v>
      </c>
      <c r="G245">
        <v>6481674802</v>
      </c>
    </row>
    <row r="246" spans="1:7" x14ac:dyDescent="0.3">
      <c r="A246" t="s">
        <v>845</v>
      </c>
      <c r="B246" t="s">
        <v>1799</v>
      </c>
      <c r="C246">
        <v>49</v>
      </c>
      <c r="D246" t="s">
        <v>1336</v>
      </c>
      <c r="E246" t="s">
        <v>1637</v>
      </c>
      <c r="F246" t="s">
        <v>1368</v>
      </c>
      <c r="G246">
        <v>7969766214</v>
      </c>
    </row>
    <row r="247" spans="1:7" x14ac:dyDescent="0.3">
      <c r="A247" t="s">
        <v>1800</v>
      </c>
      <c r="B247" t="s">
        <v>1801</v>
      </c>
      <c r="C247">
        <v>64</v>
      </c>
      <c r="D247" t="s">
        <v>1328</v>
      </c>
      <c r="E247" t="s">
        <v>1511</v>
      </c>
      <c r="F247" t="s">
        <v>1419</v>
      </c>
      <c r="G247">
        <v>7877649203</v>
      </c>
    </row>
    <row r="248" spans="1:7" x14ac:dyDescent="0.3">
      <c r="A248" t="s">
        <v>1802</v>
      </c>
      <c r="B248" t="s">
        <v>1803</v>
      </c>
      <c r="C248">
        <v>27</v>
      </c>
      <c r="D248" t="s">
        <v>1328</v>
      </c>
      <c r="E248" t="s">
        <v>1713</v>
      </c>
      <c r="F248" t="s">
        <v>1409</v>
      </c>
      <c r="G248">
        <v>7486171601</v>
      </c>
    </row>
    <row r="249" spans="1:7" x14ac:dyDescent="0.3">
      <c r="A249" t="s">
        <v>1804</v>
      </c>
      <c r="B249" t="s">
        <v>1805</v>
      </c>
      <c r="C249">
        <v>18</v>
      </c>
      <c r="D249" t="s">
        <v>1328</v>
      </c>
      <c r="E249" t="s">
        <v>1361</v>
      </c>
      <c r="F249" t="s">
        <v>1362</v>
      </c>
      <c r="G249">
        <v>9289748693</v>
      </c>
    </row>
    <row r="250" spans="1:7" x14ac:dyDescent="0.3">
      <c r="A250" t="s">
        <v>793</v>
      </c>
      <c r="B250" t="s">
        <v>1806</v>
      </c>
      <c r="C250">
        <v>24</v>
      </c>
      <c r="D250" t="s">
        <v>1328</v>
      </c>
      <c r="E250" t="s">
        <v>1415</v>
      </c>
      <c r="F250" t="s">
        <v>1348</v>
      </c>
      <c r="G250">
        <v>8551850091</v>
      </c>
    </row>
    <row r="251" spans="1:7" x14ac:dyDescent="0.3">
      <c r="A251" t="s">
        <v>1807</v>
      </c>
      <c r="B251" t="s">
        <v>1808</v>
      </c>
      <c r="C251">
        <v>52</v>
      </c>
      <c r="D251" t="s">
        <v>1336</v>
      </c>
      <c r="E251" t="s">
        <v>1377</v>
      </c>
      <c r="F251" t="s">
        <v>1368</v>
      </c>
      <c r="G251">
        <v>6889031372</v>
      </c>
    </row>
    <row r="252" spans="1:7" x14ac:dyDescent="0.3">
      <c r="A252" t="s">
        <v>1809</v>
      </c>
      <c r="B252" t="s">
        <v>1810</v>
      </c>
      <c r="C252">
        <v>41</v>
      </c>
      <c r="D252" t="s">
        <v>1328</v>
      </c>
      <c r="E252" t="s">
        <v>1568</v>
      </c>
      <c r="F252" t="s">
        <v>1445</v>
      </c>
      <c r="G252">
        <v>7839946059</v>
      </c>
    </row>
    <row r="253" spans="1:7" x14ac:dyDescent="0.3">
      <c r="A253" t="s">
        <v>1811</v>
      </c>
      <c r="B253" t="s">
        <v>1812</v>
      </c>
      <c r="C253">
        <v>24</v>
      </c>
      <c r="D253" t="s">
        <v>1336</v>
      </c>
      <c r="E253" t="s">
        <v>1422</v>
      </c>
      <c r="F253" t="s">
        <v>1330</v>
      </c>
      <c r="G253">
        <v>7275217120</v>
      </c>
    </row>
    <row r="254" spans="1:7" x14ac:dyDescent="0.3">
      <c r="A254" t="s">
        <v>443</v>
      </c>
      <c r="B254" t="s">
        <v>1813</v>
      </c>
      <c r="C254">
        <v>62</v>
      </c>
      <c r="D254" t="s">
        <v>1336</v>
      </c>
      <c r="E254" t="s">
        <v>1432</v>
      </c>
      <c r="F254" t="s">
        <v>1342</v>
      </c>
      <c r="G254">
        <v>7808241973</v>
      </c>
    </row>
    <row r="255" spans="1:7" x14ac:dyDescent="0.3">
      <c r="A255" t="s">
        <v>35</v>
      </c>
      <c r="B255" t="s">
        <v>1814</v>
      </c>
      <c r="C255">
        <v>27</v>
      </c>
      <c r="D255" t="s">
        <v>1328</v>
      </c>
      <c r="E255" t="s">
        <v>1815</v>
      </c>
      <c r="F255" t="s">
        <v>1400</v>
      </c>
      <c r="G255">
        <v>7539852029</v>
      </c>
    </row>
    <row r="256" spans="1:7" x14ac:dyDescent="0.3">
      <c r="A256" t="s">
        <v>585</v>
      </c>
      <c r="B256" t="s">
        <v>1816</v>
      </c>
      <c r="C256">
        <v>55</v>
      </c>
      <c r="D256" t="s">
        <v>1328</v>
      </c>
      <c r="E256" t="s">
        <v>1483</v>
      </c>
      <c r="F256" t="s">
        <v>1368</v>
      </c>
      <c r="G256">
        <v>7098378734</v>
      </c>
    </row>
    <row r="257" spans="1:7" x14ac:dyDescent="0.3">
      <c r="A257" t="s">
        <v>1102</v>
      </c>
      <c r="B257" t="s">
        <v>1817</v>
      </c>
      <c r="C257">
        <v>59</v>
      </c>
      <c r="D257" t="s">
        <v>1328</v>
      </c>
      <c r="E257" t="s">
        <v>1438</v>
      </c>
      <c r="F257" t="s">
        <v>1419</v>
      </c>
      <c r="G257">
        <v>8473278594</v>
      </c>
    </row>
    <row r="258" spans="1:7" x14ac:dyDescent="0.3">
      <c r="A258" t="s">
        <v>759</v>
      </c>
      <c r="B258" t="s">
        <v>1818</v>
      </c>
      <c r="C258">
        <v>63</v>
      </c>
      <c r="D258" t="s">
        <v>1336</v>
      </c>
      <c r="E258" t="s">
        <v>1341</v>
      </c>
      <c r="F258" t="s">
        <v>1342</v>
      </c>
      <c r="G258">
        <v>9516099178</v>
      </c>
    </row>
    <row r="259" spans="1:7" x14ac:dyDescent="0.3">
      <c r="A259" t="s">
        <v>916</v>
      </c>
      <c r="B259" t="s">
        <v>1819</v>
      </c>
      <c r="C259">
        <v>53</v>
      </c>
      <c r="D259" t="s">
        <v>1336</v>
      </c>
      <c r="E259" t="s">
        <v>1463</v>
      </c>
      <c r="F259" t="s">
        <v>1391</v>
      </c>
      <c r="G259">
        <v>8343921004</v>
      </c>
    </row>
    <row r="260" spans="1:7" x14ac:dyDescent="0.3">
      <c r="A260" t="s">
        <v>1820</v>
      </c>
      <c r="B260" t="s">
        <v>1821</v>
      </c>
      <c r="C260">
        <v>30</v>
      </c>
      <c r="D260" t="s">
        <v>1328</v>
      </c>
      <c r="E260" t="s">
        <v>1390</v>
      </c>
      <c r="F260" t="s">
        <v>1391</v>
      </c>
      <c r="G260">
        <v>6701440231</v>
      </c>
    </row>
    <row r="261" spans="1:7" x14ac:dyDescent="0.3">
      <c r="A261" t="s">
        <v>1822</v>
      </c>
      <c r="B261" t="s">
        <v>1823</v>
      </c>
      <c r="C261">
        <v>26</v>
      </c>
      <c r="D261" t="s">
        <v>1328</v>
      </c>
      <c r="E261" t="s">
        <v>1475</v>
      </c>
      <c r="F261" t="s">
        <v>1419</v>
      </c>
      <c r="G261">
        <v>6607951605</v>
      </c>
    </row>
    <row r="262" spans="1:7" x14ac:dyDescent="0.3">
      <c r="A262" t="s">
        <v>1824</v>
      </c>
      <c r="B262" t="s">
        <v>1825</v>
      </c>
      <c r="C262">
        <v>33</v>
      </c>
      <c r="D262" t="s">
        <v>1336</v>
      </c>
      <c r="E262" t="s">
        <v>1413</v>
      </c>
      <c r="F262" t="s">
        <v>1348</v>
      </c>
      <c r="G262">
        <v>6181708092</v>
      </c>
    </row>
    <row r="263" spans="1:7" x14ac:dyDescent="0.3">
      <c r="A263" t="s">
        <v>487</v>
      </c>
      <c r="B263" t="s">
        <v>1826</v>
      </c>
      <c r="C263">
        <v>36</v>
      </c>
      <c r="D263" t="s">
        <v>1336</v>
      </c>
      <c r="E263" t="s">
        <v>1483</v>
      </c>
      <c r="F263" t="s">
        <v>1368</v>
      </c>
      <c r="G263">
        <v>7300183109</v>
      </c>
    </row>
    <row r="264" spans="1:7" x14ac:dyDescent="0.3">
      <c r="A264" t="s">
        <v>257</v>
      </c>
      <c r="B264" t="s">
        <v>1827</v>
      </c>
      <c r="C264">
        <v>32</v>
      </c>
      <c r="D264" t="s">
        <v>1336</v>
      </c>
      <c r="E264" t="s">
        <v>1815</v>
      </c>
      <c r="F264" t="s">
        <v>1400</v>
      </c>
      <c r="G264">
        <v>8044004985</v>
      </c>
    </row>
    <row r="265" spans="1:7" x14ac:dyDescent="0.3">
      <c r="A265" t="s">
        <v>1828</v>
      </c>
      <c r="B265" t="s">
        <v>1829</v>
      </c>
      <c r="C265">
        <v>27</v>
      </c>
      <c r="D265" t="s">
        <v>1336</v>
      </c>
      <c r="E265" t="s">
        <v>1397</v>
      </c>
      <c r="F265" t="s">
        <v>1333</v>
      </c>
      <c r="G265">
        <v>9392722847</v>
      </c>
    </row>
    <row r="266" spans="1:7" x14ac:dyDescent="0.3">
      <c r="A266" t="s">
        <v>1830</v>
      </c>
      <c r="B266" t="s">
        <v>1831</v>
      </c>
      <c r="C266">
        <v>36</v>
      </c>
      <c r="D266" t="s">
        <v>1328</v>
      </c>
      <c r="E266" t="s">
        <v>1832</v>
      </c>
      <c r="F266" t="s">
        <v>1368</v>
      </c>
      <c r="G266">
        <v>9478414938</v>
      </c>
    </row>
    <row r="267" spans="1:7" x14ac:dyDescent="0.3">
      <c r="A267" t="s">
        <v>1833</v>
      </c>
      <c r="B267" t="s">
        <v>1834</v>
      </c>
      <c r="C267">
        <v>52</v>
      </c>
      <c r="D267" t="s">
        <v>1336</v>
      </c>
      <c r="E267" t="s">
        <v>1347</v>
      </c>
      <c r="F267" t="s">
        <v>1348</v>
      </c>
      <c r="G267">
        <v>9521047767</v>
      </c>
    </row>
    <row r="268" spans="1:7" x14ac:dyDescent="0.3">
      <c r="A268" t="s">
        <v>382</v>
      </c>
      <c r="B268" t="s">
        <v>1835</v>
      </c>
      <c r="C268">
        <v>46</v>
      </c>
      <c r="D268" t="s">
        <v>1328</v>
      </c>
      <c r="E268" t="s">
        <v>1418</v>
      </c>
      <c r="F268" t="s">
        <v>1419</v>
      </c>
      <c r="G268">
        <v>8702406105</v>
      </c>
    </row>
    <row r="269" spans="1:7" x14ac:dyDescent="0.3">
      <c r="A269" t="s">
        <v>1836</v>
      </c>
      <c r="B269" t="s">
        <v>1837</v>
      </c>
      <c r="C269">
        <v>48</v>
      </c>
      <c r="D269" t="s">
        <v>1336</v>
      </c>
      <c r="E269" t="s">
        <v>1365</v>
      </c>
      <c r="F269" t="s">
        <v>1352</v>
      </c>
      <c r="G269">
        <v>6543063357</v>
      </c>
    </row>
    <row r="270" spans="1:7" x14ac:dyDescent="0.3">
      <c r="A270" t="s">
        <v>434</v>
      </c>
      <c r="B270" t="s">
        <v>1838</v>
      </c>
      <c r="C270">
        <v>37</v>
      </c>
      <c r="D270" t="s">
        <v>1328</v>
      </c>
      <c r="E270" t="s">
        <v>1351</v>
      </c>
      <c r="F270" t="s">
        <v>1352</v>
      </c>
      <c r="G270">
        <v>8729518545</v>
      </c>
    </row>
    <row r="271" spans="1:7" x14ac:dyDescent="0.3">
      <c r="A271" t="s">
        <v>1839</v>
      </c>
      <c r="B271" t="s">
        <v>1840</v>
      </c>
      <c r="C271">
        <v>47</v>
      </c>
      <c r="D271" t="s">
        <v>1328</v>
      </c>
      <c r="E271" t="s">
        <v>1713</v>
      </c>
      <c r="F271" t="s">
        <v>1409</v>
      </c>
      <c r="G271">
        <v>8453225285</v>
      </c>
    </row>
    <row r="272" spans="1:7" x14ac:dyDescent="0.3">
      <c r="A272" t="s">
        <v>1841</v>
      </c>
      <c r="B272" t="s">
        <v>1842</v>
      </c>
      <c r="C272">
        <v>64</v>
      </c>
      <c r="D272" t="s">
        <v>1328</v>
      </c>
      <c r="E272" t="s">
        <v>1422</v>
      </c>
      <c r="F272" t="s">
        <v>1330</v>
      </c>
      <c r="G272">
        <v>9831432130</v>
      </c>
    </row>
    <row r="273" spans="1:7" x14ac:dyDescent="0.3">
      <c r="A273" t="s">
        <v>1843</v>
      </c>
      <c r="B273" t="s">
        <v>1844</v>
      </c>
      <c r="C273">
        <v>56</v>
      </c>
      <c r="D273" t="s">
        <v>1336</v>
      </c>
      <c r="E273" t="s">
        <v>1845</v>
      </c>
      <c r="F273" t="s">
        <v>1330</v>
      </c>
      <c r="G273">
        <v>8912093118</v>
      </c>
    </row>
    <row r="274" spans="1:7" x14ac:dyDescent="0.3">
      <c r="A274" t="s">
        <v>1846</v>
      </c>
      <c r="B274" t="s">
        <v>1847</v>
      </c>
      <c r="C274">
        <v>43</v>
      </c>
      <c r="D274" t="s">
        <v>1336</v>
      </c>
      <c r="E274" t="s">
        <v>1355</v>
      </c>
      <c r="F274" t="s">
        <v>1356</v>
      </c>
      <c r="G274">
        <v>6977940566</v>
      </c>
    </row>
    <row r="275" spans="1:7" x14ac:dyDescent="0.3">
      <c r="A275" t="s">
        <v>1848</v>
      </c>
      <c r="B275" t="s">
        <v>1849</v>
      </c>
      <c r="C275">
        <v>55</v>
      </c>
      <c r="D275" t="s">
        <v>1336</v>
      </c>
      <c r="E275" t="s">
        <v>1361</v>
      </c>
      <c r="F275" t="s">
        <v>1362</v>
      </c>
      <c r="G275">
        <v>7429961878</v>
      </c>
    </row>
    <row r="276" spans="1:7" x14ac:dyDescent="0.3">
      <c r="A276" t="s">
        <v>1850</v>
      </c>
      <c r="B276" t="s">
        <v>1851</v>
      </c>
      <c r="C276">
        <v>18</v>
      </c>
      <c r="D276" t="s">
        <v>1336</v>
      </c>
      <c r="E276" t="s">
        <v>1432</v>
      </c>
      <c r="F276" t="s">
        <v>1342</v>
      </c>
      <c r="G276">
        <v>8819157560</v>
      </c>
    </row>
    <row r="277" spans="1:7" x14ac:dyDescent="0.3">
      <c r="A277" t="s">
        <v>1852</v>
      </c>
      <c r="B277" t="s">
        <v>1853</v>
      </c>
      <c r="C277">
        <v>65</v>
      </c>
      <c r="D277" t="s">
        <v>1336</v>
      </c>
      <c r="E277" t="s">
        <v>1599</v>
      </c>
      <c r="F277" t="s">
        <v>1400</v>
      </c>
      <c r="G277">
        <v>6161482579</v>
      </c>
    </row>
    <row r="278" spans="1:7" x14ac:dyDescent="0.3">
      <c r="A278" t="s">
        <v>1854</v>
      </c>
      <c r="B278" t="s">
        <v>1855</v>
      </c>
      <c r="C278">
        <v>61</v>
      </c>
      <c r="D278" t="s">
        <v>1336</v>
      </c>
      <c r="E278" t="s">
        <v>1422</v>
      </c>
      <c r="F278" t="s">
        <v>1330</v>
      </c>
      <c r="G278">
        <v>8282417098</v>
      </c>
    </row>
    <row r="279" spans="1:7" x14ac:dyDescent="0.3">
      <c r="A279" t="s">
        <v>1294</v>
      </c>
      <c r="B279" t="s">
        <v>1856</v>
      </c>
      <c r="C279">
        <v>46</v>
      </c>
      <c r="D279" t="s">
        <v>1336</v>
      </c>
      <c r="E279" t="s">
        <v>1408</v>
      </c>
      <c r="F279" t="s">
        <v>1409</v>
      </c>
      <c r="G279">
        <v>9646256102</v>
      </c>
    </row>
    <row r="280" spans="1:7" x14ac:dyDescent="0.3">
      <c r="A280" t="s">
        <v>593</v>
      </c>
      <c r="B280" t="s">
        <v>1857</v>
      </c>
      <c r="C280">
        <v>42</v>
      </c>
      <c r="D280" t="s">
        <v>1336</v>
      </c>
      <c r="E280" t="s">
        <v>1563</v>
      </c>
      <c r="F280" t="s">
        <v>1356</v>
      </c>
      <c r="G280">
        <v>8744270052</v>
      </c>
    </row>
    <row r="281" spans="1:7" x14ac:dyDescent="0.3">
      <c r="A281" t="s">
        <v>1858</v>
      </c>
      <c r="B281" t="s">
        <v>1859</v>
      </c>
      <c r="C281">
        <v>55</v>
      </c>
      <c r="D281" t="s">
        <v>1336</v>
      </c>
      <c r="E281" t="s">
        <v>1341</v>
      </c>
      <c r="F281" t="s">
        <v>1342</v>
      </c>
      <c r="G281">
        <v>8589250445</v>
      </c>
    </row>
    <row r="282" spans="1:7" x14ac:dyDescent="0.3">
      <c r="A282" t="s">
        <v>1860</v>
      </c>
      <c r="B282" t="s">
        <v>1861</v>
      </c>
      <c r="C282">
        <v>43</v>
      </c>
      <c r="D282" t="s">
        <v>1328</v>
      </c>
      <c r="E282" t="s">
        <v>1355</v>
      </c>
      <c r="F282" t="s">
        <v>1356</v>
      </c>
      <c r="G282">
        <v>6638167558</v>
      </c>
    </row>
    <row r="283" spans="1:7" x14ac:dyDescent="0.3">
      <c r="A283" t="s">
        <v>678</v>
      </c>
      <c r="B283" t="s">
        <v>1862</v>
      </c>
      <c r="C283">
        <v>48</v>
      </c>
      <c r="D283" t="s">
        <v>1328</v>
      </c>
      <c r="E283" t="s">
        <v>1365</v>
      </c>
      <c r="F283" t="s">
        <v>1352</v>
      </c>
      <c r="G283">
        <v>9613954541</v>
      </c>
    </row>
    <row r="284" spans="1:7" x14ac:dyDescent="0.3">
      <c r="A284" t="s">
        <v>102</v>
      </c>
      <c r="B284" t="s">
        <v>1863</v>
      </c>
      <c r="C284">
        <v>35</v>
      </c>
      <c r="D284" t="s">
        <v>1336</v>
      </c>
      <c r="E284" t="s">
        <v>1747</v>
      </c>
      <c r="F284" t="s">
        <v>1391</v>
      </c>
      <c r="G284">
        <v>7163261931</v>
      </c>
    </row>
    <row r="285" spans="1:7" x14ac:dyDescent="0.3">
      <c r="A285" t="s">
        <v>1864</v>
      </c>
      <c r="B285" t="s">
        <v>1865</v>
      </c>
      <c r="C285">
        <v>43</v>
      </c>
      <c r="D285" t="s">
        <v>1328</v>
      </c>
      <c r="E285" t="s">
        <v>1438</v>
      </c>
      <c r="F285" t="s">
        <v>1419</v>
      </c>
      <c r="G285">
        <v>7670238429</v>
      </c>
    </row>
    <row r="286" spans="1:7" x14ac:dyDescent="0.3">
      <c r="A286" t="s">
        <v>199</v>
      </c>
      <c r="B286" t="s">
        <v>1866</v>
      </c>
      <c r="C286">
        <v>22</v>
      </c>
      <c r="D286" t="s">
        <v>1336</v>
      </c>
      <c r="E286" t="s">
        <v>1329</v>
      </c>
      <c r="F286" t="s">
        <v>1330</v>
      </c>
      <c r="G286">
        <v>8451223152</v>
      </c>
    </row>
    <row r="287" spans="1:7" x14ac:dyDescent="0.3">
      <c r="A287" t="s">
        <v>1867</v>
      </c>
      <c r="B287" t="s">
        <v>1868</v>
      </c>
      <c r="C287">
        <v>33</v>
      </c>
      <c r="D287" t="s">
        <v>1336</v>
      </c>
      <c r="E287" t="s">
        <v>1413</v>
      </c>
      <c r="F287" t="s">
        <v>1348</v>
      </c>
      <c r="G287">
        <v>6071728705</v>
      </c>
    </row>
    <row r="288" spans="1:7" x14ac:dyDescent="0.3">
      <c r="A288" t="s">
        <v>272</v>
      </c>
      <c r="B288" t="s">
        <v>1869</v>
      </c>
      <c r="C288">
        <v>33</v>
      </c>
      <c r="D288" t="s">
        <v>1328</v>
      </c>
      <c r="E288" t="s">
        <v>1466</v>
      </c>
      <c r="F288" t="s">
        <v>1338</v>
      </c>
      <c r="G288">
        <v>6796850774</v>
      </c>
    </row>
    <row r="289" spans="1:7" x14ac:dyDescent="0.3">
      <c r="A289" t="s">
        <v>1870</v>
      </c>
      <c r="B289" t="s">
        <v>1871</v>
      </c>
      <c r="C289">
        <v>52</v>
      </c>
      <c r="D289" t="s">
        <v>1336</v>
      </c>
      <c r="E289" t="s">
        <v>1466</v>
      </c>
      <c r="F289" t="s">
        <v>1338</v>
      </c>
      <c r="G289">
        <v>6668874170</v>
      </c>
    </row>
    <row r="290" spans="1:7" x14ac:dyDescent="0.3">
      <c r="A290" t="s">
        <v>974</v>
      </c>
      <c r="B290" t="s">
        <v>1872</v>
      </c>
      <c r="C290">
        <v>58</v>
      </c>
      <c r="D290" t="s">
        <v>1336</v>
      </c>
      <c r="E290" t="s">
        <v>1383</v>
      </c>
      <c r="F290" t="s">
        <v>1338</v>
      </c>
      <c r="G290">
        <v>9253548056</v>
      </c>
    </row>
    <row r="291" spans="1:7" x14ac:dyDescent="0.3">
      <c r="A291" t="s">
        <v>1873</v>
      </c>
      <c r="B291" t="s">
        <v>1874</v>
      </c>
      <c r="C291">
        <v>19</v>
      </c>
      <c r="D291" t="s">
        <v>1336</v>
      </c>
      <c r="E291" t="s">
        <v>1365</v>
      </c>
      <c r="F291" t="s">
        <v>1352</v>
      </c>
      <c r="G291">
        <v>6961119002</v>
      </c>
    </row>
    <row r="292" spans="1:7" x14ac:dyDescent="0.3">
      <c r="A292" t="s">
        <v>1875</v>
      </c>
      <c r="B292" t="s">
        <v>1876</v>
      </c>
      <c r="C292">
        <v>55</v>
      </c>
      <c r="D292" t="s">
        <v>1336</v>
      </c>
      <c r="E292" t="s">
        <v>1591</v>
      </c>
      <c r="F292" t="s">
        <v>1352</v>
      </c>
      <c r="G292">
        <v>9635552994</v>
      </c>
    </row>
    <row r="293" spans="1:7" x14ac:dyDescent="0.3">
      <c r="A293" t="s">
        <v>1877</v>
      </c>
      <c r="B293" t="s">
        <v>1878</v>
      </c>
      <c r="C293">
        <v>64</v>
      </c>
      <c r="D293" t="s">
        <v>1328</v>
      </c>
      <c r="E293" t="s">
        <v>1463</v>
      </c>
      <c r="F293" t="s">
        <v>1391</v>
      </c>
      <c r="G293">
        <v>6369983393</v>
      </c>
    </row>
    <row r="294" spans="1:7" x14ac:dyDescent="0.3">
      <c r="A294" t="s">
        <v>267</v>
      </c>
      <c r="B294" t="s">
        <v>1879</v>
      </c>
      <c r="C294">
        <v>64</v>
      </c>
      <c r="D294" t="s">
        <v>1328</v>
      </c>
      <c r="E294" t="s">
        <v>1591</v>
      </c>
      <c r="F294" t="s">
        <v>1352</v>
      </c>
      <c r="G294">
        <v>6463987045</v>
      </c>
    </row>
    <row r="295" spans="1:7" x14ac:dyDescent="0.3">
      <c r="A295" t="s">
        <v>1880</v>
      </c>
      <c r="B295" t="s">
        <v>1881</v>
      </c>
      <c r="C295">
        <v>60</v>
      </c>
      <c r="D295" t="s">
        <v>1328</v>
      </c>
      <c r="E295" t="s">
        <v>1463</v>
      </c>
      <c r="F295" t="s">
        <v>1391</v>
      </c>
      <c r="G295">
        <v>9560946609</v>
      </c>
    </row>
    <row r="296" spans="1:7" x14ac:dyDescent="0.3">
      <c r="A296" t="s">
        <v>1158</v>
      </c>
      <c r="B296" t="s">
        <v>1882</v>
      </c>
      <c r="C296">
        <v>55</v>
      </c>
      <c r="D296" t="s">
        <v>1328</v>
      </c>
      <c r="E296" t="s">
        <v>1456</v>
      </c>
      <c r="F296" t="s">
        <v>1394</v>
      </c>
      <c r="G296">
        <v>8182798569</v>
      </c>
    </row>
    <row r="297" spans="1:7" x14ac:dyDescent="0.3">
      <c r="A297" t="s">
        <v>151</v>
      </c>
      <c r="B297" t="s">
        <v>1883</v>
      </c>
      <c r="C297">
        <v>45</v>
      </c>
      <c r="D297" t="s">
        <v>1336</v>
      </c>
      <c r="E297" t="s">
        <v>1501</v>
      </c>
      <c r="F297" t="s">
        <v>1394</v>
      </c>
      <c r="G297">
        <v>9531261610</v>
      </c>
    </row>
    <row r="298" spans="1:7" x14ac:dyDescent="0.3">
      <c r="A298" t="s">
        <v>1096</v>
      </c>
      <c r="B298" t="s">
        <v>1884</v>
      </c>
      <c r="C298">
        <v>42</v>
      </c>
      <c r="D298" t="s">
        <v>1336</v>
      </c>
      <c r="E298" t="s">
        <v>1504</v>
      </c>
      <c r="F298" t="s">
        <v>1394</v>
      </c>
      <c r="G298">
        <v>8399855820</v>
      </c>
    </row>
    <row r="299" spans="1:7" x14ac:dyDescent="0.3">
      <c r="A299" t="s">
        <v>1885</v>
      </c>
      <c r="B299" t="s">
        <v>1886</v>
      </c>
      <c r="C299">
        <v>61</v>
      </c>
      <c r="D299" t="s">
        <v>1328</v>
      </c>
      <c r="E299" t="s">
        <v>1390</v>
      </c>
      <c r="F299" t="s">
        <v>1391</v>
      </c>
      <c r="G299">
        <v>8960711616</v>
      </c>
    </row>
    <row r="300" spans="1:7" x14ac:dyDescent="0.3">
      <c r="A300" t="s">
        <v>1887</v>
      </c>
      <c r="B300" t="s">
        <v>1888</v>
      </c>
      <c r="C300">
        <v>62</v>
      </c>
      <c r="D300" t="s">
        <v>1328</v>
      </c>
      <c r="E300" t="s">
        <v>1655</v>
      </c>
      <c r="F300" t="s">
        <v>1409</v>
      </c>
      <c r="G300">
        <v>9864872294</v>
      </c>
    </row>
    <row r="301" spans="1:7" x14ac:dyDescent="0.3">
      <c r="A301" t="s">
        <v>1889</v>
      </c>
      <c r="B301" t="s">
        <v>1890</v>
      </c>
      <c r="C301">
        <v>28</v>
      </c>
      <c r="D301" t="s">
        <v>1336</v>
      </c>
      <c r="E301" t="s">
        <v>1591</v>
      </c>
      <c r="F301" t="s">
        <v>1352</v>
      </c>
      <c r="G301">
        <v>8789167071</v>
      </c>
    </row>
    <row r="302" spans="1:7" x14ac:dyDescent="0.3">
      <c r="A302" t="s">
        <v>1891</v>
      </c>
      <c r="B302" t="s">
        <v>1892</v>
      </c>
      <c r="C302">
        <v>46</v>
      </c>
      <c r="D302" t="s">
        <v>1336</v>
      </c>
      <c r="E302" t="s">
        <v>1568</v>
      </c>
      <c r="F302" t="s">
        <v>1445</v>
      </c>
      <c r="G302">
        <v>9607309856</v>
      </c>
    </row>
    <row r="303" spans="1:7" x14ac:dyDescent="0.3">
      <c r="A303" t="s">
        <v>1893</v>
      </c>
      <c r="B303" t="s">
        <v>1894</v>
      </c>
      <c r="C303">
        <v>21</v>
      </c>
      <c r="D303" t="s">
        <v>1328</v>
      </c>
      <c r="E303" t="s">
        <v>1345</v>
      </c>
      <c r="F303" t="s">
        <v>1330</v>
      </c>
      <c r="G303">
        <v>7545415479</v>
      </c>
    </row>
    <row r="304" spans="1:7" x14ac:dyDescent="0.3">
      <c r="A304" t="s">
        <v>1895</v>
      </c>
      <c r="B304" t="s">
        <v>1896</v>
      </c>
      <c r="C304">
        <v>37</v>
      </c>
      <c r="D304" t="s">
        <v>1336</v>
      </c>
      <c r="E304" t="s">
        <v>1332</v>
      </c>
      <c r="F304" t="s">
        <v>1333</v>
      </c>
      <c r="G304">
        <v>6208890268</v>
      </c>
    </row>
    <row r="305" spans="1:7" x14ac:dyDescent="0.3">
      <c r="A305" t="s">
        <v>1262</v>
      </c>
      <c r="B305" t="s">
        <v>1897</v>
      </c>
      <c r="C305">
        <v>24</v>
      </c>
      <c r="D305" t="s">
        <v>1328</v>
      </c>
      <c r="E305" t="s">
        <v>1466</v>
      </c>
      <c r="F305" t="s">
        <v>1338</v>
      </c>
      <c r="G305">
        <v>9274367264</v>
      </c>
    </row>
    <row r="306" spans="1:7" x14ac:dyDescent="0.3">
      <c r="A306" t="s">
        <v>1302</v>
      </c>
      <c r="B306" t="s">
        <v>1898</v>
      </c>
      <c r="C306">
        <v>31</v>
      </c>
      <c r="D306" t="s">
        <v>1336</v>
      </c>
      <c r="E306" t="s">
        <v>1358</v>
      </c>
      <c r="F306" t="s">
        <v>1356</v>
      </c>
      <c r="G306">
        <v>9694182960</v>
      </c>
    </row>
    <row r="307" spans="1:7" x14ac:dyDescent="0.3">
      <c r="A307" t="s">
        <v>1899</v>
      </c>
      <c r="B307" t="s">
        <v>1900</v>
      </c>
      <c r="C307">
        <v>35</v>
      </c>
      <c r="D307" t="s">
        <v>1336</v>
      </c>
      <c r="E307" t="s">
        <v>1542</v>
      </c>
      <c r="F307" t="s">
        <v>1409</v>
      </c>
      <c r="G307">
        <v>9510778705</v>
      </c>
    </row>
    <row r="308" spans="1:7" x14ac:dyDescent="0.3">
      <c r="A308" t="s">
        <v>1901</v>
      </c>
      <c r="B308" t="s">
        <v>1902</v>
      </c>
      <c r="C308">
        <v>22</v>
      </c>
      <c r="D308" t="s">
        <v>1328</v>
      </c>
      <c r="E308" t="s">
        <v>1418</v>
      </c>
      <c r="F308" t="s">
        <v>1419</v>
      </c>
      <c r="G308">
        <v>7300259233</v>
      </c>
    </row>
    <row r="309" spans="1:7" x14ac:dyDescent="0.3">
      <c r="A309" t="s">
        <v>1903</v>
      </c>
      <c r="B309" t="s">
        <v>1904</v>
      </c>
      <c r="C309">
        <v>50</v>
      </c>
      <c r="D309" t="s">
        <v>1328</v>
      </c>
      <c r="E309" t="s">
        <v>1463</v>
      </c>
      <c r="F309" t="s">
        <v>1391</v>
      </c>
      <c r="G309">
        <v>6967035180</v>
      </c>
    </row>
    <row r="310" spans="1:7" x14ac:dyDescent="0.3">
      <c r="A310" t="s">
        <v>1905</v>
      </c>
      <c r="B310" t="s">
        <v>1906</v>
      </c>
      <c r="C310">
        <v>48</v>
      </c>
      <c r="D310" t="s">
        <v>1336</v>
      </c>
      <c r="E310" t="s">
        <v>1498</v>
      </c>
      <c r="F310" t="s">
        <v>1362</v>
      </c>
      <c r="G310">
        <v>6584513920</v>
      </c>
    </row>
    <row r="311" spans="1:7" x14ac:dyDescent="0.3">
      <c r="A311" t="s">
        <v>1907</v>
      </c>
      <c r="B311" t="s">
        <v>1908</v>
      </c>
      <c r="C311">
        <v>24</v>
      </c>
      <c r="D311" t="s">
        <v>1336</v>
      </c>
      <c r="E311" t="s">
        <v>1381</v>
      </c>
      <c r="F311" t="s">
        <v>1352</v>
      </c>
      <c r="G311">
        <v>6327968165</v>
      </c>
    </row>
    <row r="312" spans="1:7" x14ac:dyDescent="0.3">
      <c r="A312" t="s">
        <v>1909</v>
      </c>
      <c r="B312" t="s">
        <v>1910</v>
      </c>
      <c r="C312">
        <v>40</v>
      </c>
      <c r="D312" t="s">
        <v>1336</v>
      </c>
      <c r="E312" t="s">
        <v>1383</v>
      </c>
      <c r="F312" t="s">
        <v>1338</v>
      </c>
      <c r="G312">
        <v>6840187938</v>
      </c>
    </row>
    <row r="313" spans="1:7" x14ac:dyDescent="0.3">
      <c r="A313" t="s">
        <v>1166</v>
      </c>
      <c r="B313" t="s">
        <v>1911</v>
      </c>
      <c r="C313">
        <v>18</v>
      </c>
      <c r="D313" t="s">
        <v>1328</v>
      </c>
      <c r="E313" t="s">
        <v>1463</v>
      </c>
      <c r="F313" t="s">
        <v>1391</v>
      </c>
      <c r="G313">
        <v>7551781782</v>
      </c>
    </row>
    <row r="314" spans="1:7" x14ac:dyDescent="0.3">
      <c r="A314" t="s">
        <v>604</v>
      </c>
      <c r="B314" t="s">
        <v>1912</v>
      </c>
      <c r="C314">
        <v>53</v>
      </c>
      <c r="D314" t="s">
        <v>1328</v>
      </c>
      <c r="E314" t="s">
        <v>1637</v>
      </c>
      <c r="F314" t="s">
        <v>1368</v>
      </c>
      <c r="G314">
        <v>9873117898</v>
      </c>
    </row>
    <row r="315" spans="1:7" x14ac:dyDescent="0.3">
      <c r="A315" t="s">
        <v>1913</v>
      </c>
      <c r="B315" t="s">
        <v>1914</v>
      </c>
      <c r="C315">
        <v>34</v>
      </c>
      <c r="D315" t="s">
        <v>1328</v>
      </c>
      <c r="E315" t="s">
        <v>1390</v>
      </c>
      <c r="F315" t="s">
        <v>1391</v>
      </c>
      <c r="G315">
        <v>6020594741</v>
      </c>
    </row>
    <row r="316" spans="1:7" x14ac:dyDescent="0.3">
      <c r="A316" t="s">
        <v>1915</v>
      </c>
      <c r="B316" t="s">
        <v>1916</v>
      </c>
      <c r="C316">
        <v>54</v>
      </c>
      <c r="D316" t="s">
        <v>1336</v>
      </c>
      <c r="E316" t="s">
        <v>1438</v>
      </c>
      <c r="F316" t="s">
        <v>1419</v>
      </c>
      <c r="G316">
        <v>8750751262</v>
      </c>
    </row>
    <row r="317" spans="1:7" x14ac:dyDescent="0.3">
      <c r="A317" t="s">
        <v>539</v>
      </c>
      <c r="B317" t="s">
        <v>1917</v>
      </c>
      <c r="C317">
        <v>24</v>
      </c>
      <c r="D317" t="s">
        <v>1328</v>
      </c>
      <c r="E317" t="s">
        <v>1374</v>
      </c>
      <c r="F317" t="s">
        <v>1348</v>
      </c>
      <c r="G317">
        <v>7674490442</v>
      </c>
    </row>
    <row r="318" spans="1:7" x14ac:dyDescent="0.3">
      <c r="A318" t="s">
        <v>1918</v>
      </c>
      <c r="B318" t="s">
        <v>1919</v>
      </c>
      <c r="C318">
        <v>42</v>
      </c>
      <c r="D318" t="s">
        <v>1336</v>
      </c>
      <c r="E318" t="s">
        <v>1383</v>
      </c>
      <c r="F318" t="s">
        <v>1338</v>
      </c>
      <c r="G318">
        <v>6735749568</v>
      </c>
    </row>
    <row r="319" spans="1:7" x14ac:dyDescent="0.3">
      <c r="A319" t="s">
        <v>1920</v>
      </c>
      <c r="B319" t="s">
        <v>1921</v>
      </c>
      <c r="C319">
        <v>53</v>
      </c>
      <c r="D319" t="s">
        <v>1328</v>
      </c>
      <c r="E319" t="s">
        <v>1337</v>
      </c>
      <c r="F319" t="s">
        <v>1338</v>
      </c>
      <c r="G319">
        <v>6451712967</v>
      </c>
    </row>
    <row r="320" spans="1:7" x14ac:dyDescent="0.3">
      <c r="A320" t="s">
        <v>1922</v>
      </c>
      <c r="B320" t="s">
        <v>1923</v>
      </c>
      <c r="C320">
        <v>19</v>
      </c>
      <c r="D320" t="s">
        <v>1328</v>
      </c>
      <c r="E320" t="s">
        <v>1770</v>
      </c>
      <c r="F320" t="s">
        <v>1400</v>
      </c>
      <c r="G320">
        <v>6081546130</v>
      </c>
    </row>
    <row r="321" spans="1:7" x14ac:dyDescent="0.3">
      <c r="A321" t="s">
        <v>851</v>
      </c>
      <c r="B321" t="s">
        <v>1924</v>
      </c>
      <c r="C321">
        <v>22</v>
      </c>
      <c r="D321" t="s">
        <v>1336</v>
      </c>
      <c r="E321" t="s">
        <v>1668</v>
      </c>
      <c r="F321" t="s">
        <v>1445</v>
      </c>
      <c r="G321">
        <v>6290799437</v>
      </c>
    </row>
    <row r="322" spans="1:7" x14ac:dyDescent="0.3">
      <c r="A322" t="s">
        <v>1266</v>
      </c>
      <c r="B322" t="s">
        <v>1925</v>
      </c>
      <c r="C322">
        <v>65</v>
      </c>
      <c r="D322" t="s">
        <v>1328</v>
      </c>
      <c r="E322" t="s">
        <v>1388</v>
      </c>
      <c r="F322" t="s">
        <v>1342</v>
      </c>
      <c r="G322">
        <v>9739627604</v>
      </c>
    </row>
    <row r="323" spans="1:7" x14ac:dyDescent="0.3">
      <c r="A323" t="s">
        <v>1926</v>
      </c>
      <c r="B323" t="s">
        <v>1927</v>
      </c>
      <c r="C323">
        <v>56</v>
      </c>
      <c r="D323" t="s">
        <v>1336</v>
      </c>
      <c r="E323" t="s">
        <v>1770</v>
      </c>
      <c r="F323" t="s">
        <v>1400</v>
      </c>
      <c r="G323">
        <v>6011453207</v>
      </c>
    </row>
    <row r="324" spans="1:7" x14ac:dyDescent="0.3">
      <c r="A324" t="s">
        <v>980</v>
      </c>
      <c r="B324" t="s">
        <v>1928</v>
      </c>
      <c r="C324">
        <v>65</v>
      </c>
      <c r="D324" t="s">
        <v>1328</v>
      </c>
      <c r="E324" t="s">
        <v>1815</v>
      </c>
      <c r="F324" t="s">
        <v>1400</v>
      </c>
      <c r="G324">
        <v>8801926569</v>
      </c>
    </row>
    <row r="325" spans="1:7" x14ac:dyDescent="0.3">
      <c r="A325" t="s">
        <v>727</v>
      </c>
      <c r="B325" t="s">
        <v>1929</v>
      </c>
      <c r="C325">
        <v>35</v>
      </c>
      <c r="D325" t="s">
        <v>1328</v>
      </c>
      <c r="E325" t="s">
        <v>1542</v>
      </c>
      <c r="F325" t="s">
        <v>1409</v>
      </c>
      <c r="G325">
        <v>6090237929</v>
      </c>
    </row>
    <row r="326" spans="1:7" x14ac:dyDescent="0.3">
      <c r="A326" t="s">
        <v>1930</v>
      </c>
      <c r="B326" t="s">
        <v>1931</v>
      </c>
      <c r="C326">
        <v>43</v>
      </c>
      <c r="D326" t="s">
        <v>1336</v>
      </c>
      <c r="E326" t="s">
        <v>1637</v>
      </c>
      <c r="F326" t="s">
        <v>1368</v>
      </c>
      <c r="G326">
        <v>6917529928</v>
      </c>
    </row>
    <row r="327" spans="1:7" x14ac:dyDescent="0.3">
      <c r="A327" t="s">
        <v>626</v>
      </c>
      <c r="B327" t="s">
        <v>1932</v>
      </c>
      <c r="C327">
        <v>53</v>
      </c>
      <c r="D327" t="s">
        <v>1328</v>
      </c>
      <c r="E327" t="s">
        <v>1413</v>
      </c>
      <c r="F327" t="s">
        <v>1348</v>
      </c>
      <c r="G327">
        <v>9876345345</v>
      </c>
    </row>
    <row r="328" spans="1:7" x14ac:dyDescent="0.3">
      <c r="A328" t="s">
        <v>1933</v>
      </c>
      <c r="B328" t="s">
        <v>1934</v>
      </c>
      <c r="C328">
        <v>18</v>
      </c>
      <c r="D328" t="s">
        <v>1336</v>
      </c>
      <c r="E328" t="s">
        <v>1461</v>
      </c>
      <c r="F328" t="s">
        <v>1445</v>
      </c>
      <c r="G328">
        <v>6441814759</v>
      </c>
    </row>
    <row r="329" spans="1:7" x14ac:dyDescent="0.3">
      <c r="A329" t="s">
        <v>1935</v>
      </c>
      <c r="B329" t="s">
        <v>1936</v>
      </c>
      <c r="C329">
        <v>64</v>
      </c>
      <c r="D329" t="s">
        <v>1336</v>
      </c>
      <c r="E329" t="s">
        <v>1504</v>
      </c>
      <c r="F329" t="s">
        <v>1394</v>
      </c>
      <c r="G329">
        <v>7547648773</v>
      </c>
    </row>
    <row r="330" spans="1:7" x14ac:dyDescent="0.3">
      <c r="A330" t="s">
        <v>1937</v>
      </c>
      <c r="B330" t="s">
        <v>1938</v>
      </c>
      <c r="C330">
        <v>42</v>
      </c>
      <c r="D330" t="s">
        <v>1328</v>
      </c>
      <c r="E330" t="s">
        <v>1599</v>
      </c>
      <c r="F330" t="s">
        <v>1400</v>
      </c>
      <c r="G330">
        <v>8339592532</v>
      </c>
    </row>
    <row r="331" spans="1:7" x14ac:dyDescent="0.3">
      <c r="A331" t="s">
        <v>1939</v>
      </c>
      <c r="B331" t="s">
        <v>1940</v>
      </c>
      <c r="C331">
        <v>23</v>
      </c>
      <c r="D331" t="s">
        <v>1328</v>
      </c>
      <c r="E331" t="s">
        <v>1365</v>
      </c>
      <c r="F331" t="s">
        <v>1352</v>
      </c>
      <c r="G331">
        <v>6623751322</v>
      </c>
    </row>
    <row r="332" spans="1:7" x14ac:dyDescent="0.3">
      <c r="A332" t="s">
        <v>1941</v>
      </c>
      <c r="B332" t="s">
        <v>1942</v>
      </c>
      <c r="C332">
        <v>34</v>
      </c>
      <c r="D332" t="s">
        <v>1328</v>
      </c>
      <c r="E332" t="s">
        <v>1377</v>
      </c>
      <c r="F332" t="s">
        <v>1368</v>
      </c>
      <c r="G332">
        <v>7570608278</v>
      </c>
    </row>
    <row r="333" spans="1:7" x14ac:dyDescent="0.3">
      <c r="A333" t="s">
        <v>1943</v>
      </c>
      <c r="B333" t="s">
        <v>1944</v>
      </c>
      <c r="C333">
        <v>31</v>
      </c>
      <c r="D333" t="s">
        <v>1328</v>
      </c>
      <c r="E333" t="s">
        <v>1845</v>
      </c>
      <c r="F333" t="s">
        <v>1330</v>
      </c>
      <c r="G333">
        <v>7968853325</v>
      </c>
    </row>
    <row r="334" spans="1:7" x14ac:dyDescent="0.3">
      <c r="A334" t="s">
        <v>1945</v>
      </c>
      <c r="B334" t="s">
        <v>1946</v>
      </c>
      <c r="C334">
        <v>37</v>
      </c>
      <c r="D334" t="s">
        <v>1336</v>
      </c>
      <c r="E334" t="s">
        <v>1542</v>
      </c>
      <c r="F334" t="s">
        <v>1409</v>
      </c>
      <c r="G334">
        <v>7374373963</v>
      </c>
    </row>
    <row r="335" spans="1:7" x14ac:dyDescent="0.3">
      <c r="A335" t="s">
        <v>1947</v>
      </c>
      <c r="B335" t="s">
        <v>1948</v>
      </c>
      <c r="C335">
        <v>28</v>
      </c>
      <c r="D335" t="s">
        <v>1336</v>
      </c>
      <c r="E335" t="s">
        <v>1377</v>
      </c>
      <c r="F335" t="s">
        <v>1368</v>
      </c>
      <c r="G335">
        <v>9329747644</v>
      </c>
    </row>
    <row r="336" spans="1:7" x14ac:dyDescent="0.3">
      <c r="A336" t="s">
        <v>1052</v>
      </c>
      <c r="B336" t="s">
        <v>1949</v>
      </c>
      <c r="C336">
        <v>57</v>
      </c>
      <c r="D336" t="s">
        <v>1336</v>
      </c>
      <c r="E336" t="s">
        <v>1361</v>
      </c>
      <c r="F336" t="s">
        <v>1362</v>
      </c>
      <c r="G336">
        <v>7291350576</v>
      </c>
    </row>
    <row r="337" spans="1:7" x14ac:dyDescent="0.3">
      <c r="A337" t="s">
        <v>630</v>
      </c>
      <c r="B337" t="s">
        <v>1950</v>
      </c>
      <c r="C337">
        <v>57</v>
      </c>
      <c r="D337" t="s">
        <v>1328</v>
      </c>
      <c r="E337" t="s">
        <v>1713</v>
      </c>
      <c r="F337" t="s">
        <v>1409</v>
      </c>
      <c r="G337">
        <v>7183278384</v>
      </c>
    </row>
    <row r="338" spans="1:7" x14ac:dyDescent="0.3">
      <c r="A338" t="s">
        <v>1951</v>
      </c>
      <c r="B338" t="s">
        <v>1952</v>
      </c>
      <c r="C338">
        <v>65</v>
      </c>
      <c r="D338" t="s">
        <v>1336</v>
      </c>
      <c r="E338" t="s">
        <v>1451</v>
      </c>
      <c r="F338" t="s">
        <v>1445</v>
      </c>
      <c r="G338">
        <v>7832864181</v>
      </c>
    </row>
    <row r="339" spans="1:7" x14ac:dyDescent="0.3">
      <c r="A339" t="s">
        <v>530</v>
      </c>
      <c r="B339" t="s">
        <v>1953</v>
      </c>
      <c r="C339">
        <v>63</v>
      </c>
      <c r="D339" t="s">
        <v>1336</v>
      </c>
      <c r="E339" t="s">
        <v>1345</v>
      </c>
      <c r="F339" t="s">
        <v>1330</v>
      </c>
      <c r="G339">
        <v>7631561870</v>
      </c>
    </row>
    <row r="340" spans="1:7" x14ac:dyDescent="0.3">
      <c r="A340" t="s">
        <v>1954</v>
      </c>
      <c r="B340" t="s">
        <v>1955</v>
      </c>
      <c r="C340">
        <v>56</v>
      </c>
      <c r="D340" t="s">
        <v>1336</v>
      </c>
      <c r="E340" t="s">
        <v>1511</v>
      </c>
      <c r="F340" t="s">
        <v>1419</v>
      </c>
      <c r="G340">
        <v>6338110887</v>
      </c>
    </row>
    <row r="341" spans="1:7" x14ac:dyDescent="0.3">
      <c r="A341" t="s">
        <v>511</v>
      </c>
      <c r="B341" t="s">
        <v>1956</v>
      </c>
      <c r="C341">
        <v>40</v>
      </c>
      <c r="D341" t="s">
        <v>1328</v>
      </c>
      <c r="E341" t="s">
        <v>1478</v>
      </c>
      <c r="F341" t="s">
        <v>1391</v>
      </c>
      <c r="G341">
        <v>9164547322</v>
      </c>
    </row>
    <row r="342" spans="1:7" x14ac:dyDescent="0.3">
      <c r="A342" t="s">
        <v>1268</v>
      </c>
      <c r="B342" t="s">
        <v>1957</v>
      </c>
      <c r="C342">
        <v>61</v>
      </c>
      <c r="D342" t="s">
        <v>1328</v>
      </c>
      <c r="E342" t="s">
        <v>1418</v>
      </c>
      <c r="F342" t="s">
        <v>1419</v>
      </c>
      <c r="G342">
        <v>6181049720</v>
      </c>
    </row>
    <row r="343" spans="1:7" x14ac:dyDescent="0.3">
      <c r="A343" t="s">
        <v>1958</v>
      </c>
      <c r="B343" t="s">
        <v>1959</v>
      </c>
      <c r="C343">
        <v>59</v>
      </c>
      <c r="D343" t="s">
        <v>1336</v>
      </c>
      <c r="E343" t="s">
        <v>1478</v>
      </c>
      <c r="F343" t="s">
        <v>1391</v>
      </c>
      <c r="G343">
        <v>7411278165</v>
      </c>
    </row>
    <row r="344" spans="1:7" x14ac:dyDescent="0.3">
      <c r="A344" t="s">
        <v>1960</v>
      </c>
      <c r="B344" t="s">
        <v>1961</v>
      </c>
      <c r="C344">
        <v>29</v>
      </c>
      <c r="D344" t="s">
        <v>1336</v>
      </c>
      <c r="E344" t="s">
        <v>1361</v>
      </c>
      <c r="F344" t="s">
        <v>1362</v>
      </c>
      <c r="G344">
        <v>7240584271</v>
      </c>
    </row>
    <row r="345" spans="1:7" x14ac:dyDescent="0.3">
      <c r="A345" t="s">
        <v>1962</v>
      </c>
      <c r="B345" t="s">
        <v>1963</v>
      </c>
      <c r="C345">
        <v>63</v>
      </c>
      <c r="D345" t="s">
        <v>1336</v>
      </c>
      <c r="E345" t="s">
        <v>1655</v>
      </c>
      <c r="F345" t="s">
        <v>1409</v>
      </c>
      <c r="G345">
        <v>9096348187</v>
      </c>
    </row>
    <row r="346" spans="1:7" x14ac:dyDescent="0.3">
      <c r="A346" t="s">
        <v>1964</v>
      </c>
      <c r="B346" t="s">
        <v>1965</v>
      </c>
      <c r="C346">
        <v>64</v>
      </c>
      <c r="D346" t="s">
        <v>1336</v>
      </c>
      <c r="E346" t="s">
        <v>1637</v>
      </c>
      <c r="F346" t="s">
        <v>1368</v>
      </c>
      <c r="G346">
        <v>6681843266</v>
      </c>
    </row>
    <row r="347" spans="1:7" x14ac:dyDescent="0.3">
      <c r="A347" t="s">
        <v>990</v>
      </c>
      <c r="B347" t="s">
        <v>1966</v>
      </c>
      <c r="C347">
        <v>32</v>
      </c>
      <c r="D347" t="s">
        <v>1328</v>
      </c>
      <c r="E347" t="s">
        <v>1388</v>
      </c>
      <c r="F347" t="s">
        <v>1342</v>
      </c>
      <c r="G347">
        <v>9600817488</v>
      </c>
    </row>
    <row r="348" spans="1:7" x14ac:dyDescent="0.3">
      <c r="A348" t="s">
        <v>291</v>
      </c>
      <c r="B348" t="s">
        <v>1967</v>
      </c>
      <c r="C348">
        <v>25</v>
      </c>
      <c r="D348" t="s">
        <v>1336</v>
      </c>
      <c r="E348" t="s">
        <v>1563</v>
      </c>
      <c r="F348" t="s">
        <v>1356</v>
      </c>
      <c r="G348">
        <v>7166146302</v>
      </c>
    </row>
    <row r="349" spans="1:7" x14ac:dyDescent="0.3">
      <c r="A349" t="s">
        <v>1968</v>
      </c>
      <c r="B349" t="s">
        <v>1969</v>
      </c>
      <c r="C349">
        <v>54</v>
      </c>
      <c r="D349" t="s">
        <v>1328</v>
      </c>
      <c r="E349" t="s">
        <v>1399</v>
      </c>
      <c r="F349" t="s">
        <v>1400</v>
      </c>
      <c r="G349">
        <v>6368298683</v>
      </c>
    </row>
    <row r="350" spans="1:7" x14ac:dyDescent="0.3">
      <c r="A350" t="s">
        <v>1970</v>
      </c>
      <c r="B350" t="s">
        <v>1971</v>
      </c>
      <c r="C350">
        <v>30</v>
      </c>
      <c r="D350" t="s">
        <v>1336</v>
      </c>
      <c r="E350" t="s">
        <v>1463</v>
      </c>
      <c r="F350" t="s">
        <v>1391</v>
      </c>
      <c r="G350">
        <v>9027750212</v>
      </c>
    </row>
    <row r="351" spans="1:7" x14ac:dyDescent="0.3">
      <c r="A351" t="s">
        <v>602</v>
      </c>
      <c r="B351" t="s">
        <v>1972</v>
      </c>
      <c r="C351">
        <v>37</v>
      </c>
      <c r="D351" t="s">
        <v>1336</v>
      </c>
      <c r="E351" t="s">
        <v>1463</v>
      </c>
      <c r="F351" t="s">
        <v>1391</v>
      </c>
      <c r="G351">
        <v>7672608092</v>
      </c>
    </row>
    <row r="352" spans="1:7" x14ac:dyDescent="0.3">
      <c r="A352" t="s">
        <v>1973</v>
      </c>
      <c r="B352" t="s">
        <v>1974</v>
      </c>
      <c r="C352">
        <v>41</v>
      </c>
      <c r="D352" t="s">
        <v>1328</v>
      </c>
      <c r="E352" t="s">
        <v>1498</v>
      </c>
      <c r="F352" t="s">
        <v>1362</v>
      </c>
      <c r="G352">
        <v>6469873986</v>
      </c>
    </row>
    <row r="353" spans="1:7" x14ac:dyDescent="0.3">
      <c r="A353" t="s">
        <v>1975</v>
      </c>
      <c r="B353" t="s">
        <v>1976</v>
      </c>
      <c r="C353">
        <v>55</v>
      </c>
      <c r="D353" t="s">
        <v>1336</v>
      </c>
      <c r="E353" t="s">
        <v>1461</v>
      </c>
      <c r="F353" t="s">
        <v>1445</v>
      </c>
      <c r="G353">
        <v>7297409796</v>
      </c>
    </row>
    <row r="354" spans="1:7" x14ac:dyDescent="0.3">
      <c r="A354" t="s">
        <v>889</v>
      </c>
      <c r="B354" t="s">
        <v>1977</v>
      </c>
      <c r="C354">
        <v>32</v>
      </c>
      <c r="D354" t="s">
        <v>1336</v>
      </c>
      <c r="E354" t="s">
        <v>1602</v>
      </c>
      <c r="F354" t="s">
        <v>1400</v>
      </c>
      <c r="G354">
        <v>9726647440</v>
      </c>
    </row>
    <row r="355" spans="1:7" x14ac:dyDescent="0.3">
      <c r="A355" t="s">
        <v>1978</v>
      </c>
      <c r="B355" t="s">
        <v>1979</v>
      </c>
      <c r="C355">
        <v>53</v>
      </c>
      <c r="D355" t="s">
        <v>1328</v>
      </c>
      <c r="E355" t="s">
        <v>1501</v>
      </c>
      <c r="F355" t="s">
        <v>1394</v>
      </c>
      <c r="G355">
        <v>8660096412</v>
      </c>
    </row>
    <row r="356" spans="1:7" x14ac:dyDescent="0.3">
      <c r="A356" t="s">
        <v>1980</v>
      </c>
      <c r="B356" t="s">
        <v>1981</v>
      </c>
      <c r="C356">
        <v>25</v>
      </c>
      <c r="D356" t="s">
        <v>1328</v>
      </c>
      <c r="E356" t="s">
        <v>1556</v>
      </c>
      <c r="F356" t="s">
        <v>1333</v>
      </c>
      <c r="G356">
        <v>7404529273</v>
      </c>
    </row>
    <row r="357" spans="1:7" x14ac:dyDescent="0.3">
      <c r="A357" t="s">
        <v>1982</v>
      </c>
      <c r="B357" t="s">
        <v>1983</v>
      </c>
      <c r="C357">
        <v>41</v>
      </c>
      <c r="D357" t="s">
        <v>1336</v>
      </c>
      <c r="E357" t="s">
        <v>1408</v>
      </c>
      <c r="F357" t="s">
        <v>1409</v>
      </c>
      <c r="G357">
        <v>9031009558</v>
      </c>
    </row>
    <row r="358" spans="1:7" x14ac:dyDescent="0.3">
      <c r="A358" t="s">
        <v>216</v>
      </c>
      <c r="B358" t="s">
        <v>1984</v>
      </c>
      <c r="C358">
        <v>21</v>
      </c>
      <c r="D358" t="s">
        <v>1328</v>
      </c>
      <c r="E358" t="s">
        <v>1374</v>
      </c>
      <c r="F358" t="s">
        <v>1348</v>
      </c>
      <c r="G358">
        <v>7192508046</v>
      </c>
    </row>
    <row r="359" spans="1:7" x14ac:dyDescent="0.3">
      <c r="A359" t="s">
        <v>1985</v>
      </c>
      <c r="B359" t="s">
        <v>1986</v>
      </c>
      <c r="C359">
        <v>22</v>
      </c>
      <c r="D359" t="s">
        <v>1336</v>
      </c>
      <c r="E359" t="s">
        <v>1413</v>
      </c>
      <c r="F359" t="s">
        <v>1348</v>
      </c>
      <c r="G359">
        <v>8550325525</v>
      </c>
    </row>
    <row r="360" spans="1:7" x14ac:dyDescent="0.3">
      <c r="A360" t="s">
        <v>560</v>
      </c>
      <c r="B360" t="s">
        <v>1987</v>
      </c>
      <c r="C360">
        <v>62</v>
      </c>
      <c r="D360" t="s">
        <v>1328</v>
      </c>
      <c r="E360" t="s">
        <v>1713</v>
      </c>
      <c r="F360" t="s">
        <v>1409</v>
      </c>
      <c r="G360">
        <v>7941100389</v>
      </c>
    </row>
    <row r="361" spans="1:7" x14ac:dyDescent="0.3">
      <c r="A361" t="s">
        <v>1988</v>
      </c>
      <c r="B361" t="s">
        <v>1989</v>
      </c>
      <c r="C361">
        <v>27</v>
      </c>
      <c r="D361" t="s">
        <v>1336</v>
      </c>
      <c r="E361" t="s">
        <v>1599</v>
      </c>
      <c r="F361" t="s">
        <v>1400</v>
      </c>
      <c r="G361">
        <v>6223986523</v>
      </c>
    </row>
    <row r="362" spans="1:7" x14ac:dyDescent="0.3">
      <c r="A362" t="s">
        <v>293</v>
      </c>
      <c r="B362" t="s">
        <v>1990</v>
      </c>
      <c r="C362">
        <v>43</v>
      </c>
      <c r="D362" t="s">
        <v>1336</v>
      </c>
      <c r="E362" t="s">
        <v>1332</v>
      </c>
      <c r="F362" t="s">
        <v>1333</v>
      </c>
      <c r="G362">
        <v>9518474570</v>
      </c>
    </row>
    <row r="363" spans="1:7" x14ac:dyDescent="0.3">
      <c r="A363" t="s">
        <v>795</v>
      </c>
      <c r="B363" t="s">
        <v>1991</v>
      </c>
      <c r="C363">
        <v>58</v>
      </c>
      <c r="D363" t="s">
        <v>1336</v>
      </c>
      <c r="E363" t="s">
        <v>1425</v>
      </c>
      <c r="F363" t="s">
        <v>1409</v>
      </c>
      <c r="G363">
        <v>9424294728</v>
      </c>
    </row>
    <row r="364" spans="1:7" x14ac:dyDescent="0.3">
      <c r="A364" t="s">
        <v>835</v>
      </c>
      <c r="B364" t="s">
        <v>1992</v>
      </c>
      <c r="C364">
        <v>29</v>
      </c>
      <c r="D364" t="s">
        <v>1328</v>
      </c>
      <c r="E364" t="s">
        <v>1461</v>
      </c>
      <c r="F364" t="s">
        <v>1445</v>
      </c>
      <c r="G364">
        <v>7812144113</v>
      </c>
    </row>
    <row r="365" spans="1:7" x14ac:dyDescent="0.3">
      <c r="A365" t="s">
        <v>606</v>
      </c>
      <c r="B365" t="s">
        <v>1993</v>
      </c>
      <c r="C365">
        <v>65</v>
      </c>
      <c r="D365" t="s">
        <v>1328</v>
      </c>
      <c r="E365" t="s">
        <v>1374</v>
      </c>
      <c r="F365" t="s">
        <v>1348</v>
      </c>
      <c r="G365">
        <v>8307815282</v>
      </c>
    </row>
    <row r="366" spans="1:7" x14ac:dyDescent="0.3">
      <c r="A366" t="s">
        <v>314</v>
      </c>
      <c r="B366" t="s">
        <v>1994</v>
      </c>
      <c r="C366">
        <v>41</v>
      </c>
      <c r="D366" t="s">
        <v>1336</v>
      </c>
      <c r="E366" t="s">
        <v>1456</v>
      </c>
      <c r="F366" t="s">
        <v>1394</v>
      </c>
      <c r="G366">
        <v>9371634769</v>
      </c>
    </row>
    <row r="367" spans="1:7" x14ac:dyDescent="0.3">
      <c r="A367" t="s">
        <v>1995</v>
      </c>
      <c r="B367" t="s">
        <v>1996</v>
      </c>
      <c r="C367">
        <v>50</v>
      </c>
      <c r="D367" t="s">
        <v>1328</v>
      </c>
      <c r="E367" t="s">
        <v>1556</v>
      </c>
      <c r="F367" t="s">
        <v>1333</v>
      </c>
      <c r="G367">
        <v>6197147876</v>
      </c>
    </row>
    <row r="368" spans="1:7" x14ac:dyDescent="0.3">
      <c r="A368" t="s">
        <v>1997</v>
      </c>
      <c r="B368" t="s">
        <v>1998</v>
      </c>
      <c r="C368">
        <v>57</v>
      </c>
      <c r="D368" t="s">
        <v>1336</v>
      </c>
      <c r="E368" t="s">
        <v>1498</v>
      </c>
      <c r="F368" t="s">
        <v>1362</v>
      </c>
      <c r="G368">
        <v>9262161622</v>
      </c>
    </row>
    <row r="369" spans="1:7" x14ac:dyDescent="0.3">
      <c r="A369" t="s">
        <v>426</v>
      </c>
      <c r="B369" t="s">
        <v>1999</v>
      </c>
      <c r="C369">
        <v>20</v>
      </c>
      <c r="D369" t="s">
        <v>1328</v>
      </c>
      <c r="E369" t="s">
        <v>1403</v>
      </c>
      <c r="F369" t="s">
        <v>1362</v>
      </c>
      <c r="G369">
        <v>8349546424</v>
      </c>
    </row>
    <row r="370" spans="1:7" x14ac:dyDescent="0.3">
      <c r="A370" t="s">
        <v>779</v>
      </c>
      <c r="B370" t="s">
        <v>2000</v>
      </c>
      <c r="C370">
        <v>62</v>
      </c>
      <c r="D370" t="s">
        <v>1328</v>
      </c>
      <c r="E370" t="s">
        <v>1413</v>
      </c>
      <c r="F370" t="s">
        <v>1348</v>
      </c>
      <c r="G370">
        <v>6627217594</v>
      </c>
    </row>
    <row r="371" spans="1:7" x14ac:dyDescent="0.3">
      <c r="A371" t="s">
        <v>2001</v>
      </c>
      <c r="B371" t="s">
        <v>2002</v>
      </c>
      <c r="C371">
        <v>53</v>
      </c>
      <c r="D371" t="s">
        <v>1328</v>
      </c>
      <c r="E371" t="s">
        <v>1637</v>
      </c>
      <c r="F371" t="s">
        <v>1368</v>
      </c>
      <c r="G371">
        <v>6164097605</v>
      </c>
    </row>
    <row r="372" spans="1:7" x14ac:dyDescent="0.3">
      <c r="A372" t="s">
        <v>2003</v>
      </c>
      <c r="B372" t="s">
        <v>2004</v>
      </c>
      <c r="C372">
        <v>32</v>
      </c>
      <c r="D372" t="s">
        <v>1328</v>
      </c>
      <c r="E372" t="s">
        <v>1351</v>
      </c>
      <c r="F372" t="s">
        <v>1352</v>
      </c>
      <c r="G372">
        <v>9887238116</v>
      </c>
    </row>
    <row r="373" spans="1:7" x14ac:dyDescent="0.3">
      <c r="A373" t="s">
        <v>2005</v>
      </c>
      <c r="B373" t="s">
        <v>2006</v>
      </c>
      <c r="C373">
        <v>26</v>
      </c>
      <c r="D373" t="s">
        <v>1328</v>
      </c>
      <c r="E373" t="s">
        <v>1432</v>
      </c>
      <c r="F373" t="s">
        <v>1342</v>
      </c>
      <c r="G373">
        <v>6905215787</v>
      </c>
    </row>
    <row r="374" spans="1:7" x14ac:dyDescent="0.3">
      <c r="A374" t="s">
        <v>902</v>
      </c>
      <c r="B374" t="s">
        <v>2007</v>
      </c>
      <c r="C374">
        <v>19</v>
      </c>
      <c r="D374" t="s">
        <v>1328</v>
      </c>
      <c r="E374" t="s">
        <v>1556</v>
      </c>
      <c r="F374" t="s">
        <v>1333</v>
      </c>
      <c r="G374">
        <v>9767510343</v>
      </c>
    </row>
    <row r="375" spans="1:7" x14ac:dyDescent="0.3">
      <c r="A375" t="s">
        <v>958</v>
      </c>
      <c r="B375" t="s">
        <v>2008</v>
      </c>
      <c r="C375">
        <v>28</v>
      </c>
      <c r="D375" t="s">
        <v>1336</v>
      </c>
      <c r="E375" t="s">
        <v>1365</v>
      </c>
      <c r="F375" t="s">
        <v>1352</v>
      </c>
      <c r="G375">
        <v>8764490391</v>
      </c>
    </row>
    <row r="376" spans="1:7" x14ac:dyDescent="0.3">
      <c r="A376" t="s">
        <v>2009</v>
      </c>
      <c r="B376" t="s">
        <v>2010</v>
      </c>
      <c r="C376">
        <v>24</v>
      </c>
      <c r="D376" t="s">
        <v>1336</v>
      </c>
      <c r="E376" t="s">
        <v>1381</v>
      </c>
      <c r="F376" t="s">
        <v>1352</v>
      </c>
      <c r="G376">
        <v>8933220881</v>
      </c>
    </row>
    <row r="377" spans="1:7" x14ac:dyDescent="0.3">
      <c r="A377" t="s">
        <v>2011</v>
      </c>
      <c r="B377" t="s">
        <v>2012</v>
      </c>
      <c r="C377">
        <v>23</v>
      </c>
      <c r="D377" t="s">
        <v>1328</v>
      </c>
      <c r="E377" t="s">
        <v>1377</v>
      </c>
      <c r="F377" t="s">
        <v>1368</v>
      </c>
      <c r="G377">
        <v>8933328250</v>
      </c>
    </row>
    <row r="378" spans="1:7" x14ac:dyDescent="0.3">
      <c r="A378" t="s">
        <v>2013</v>
      </c>
      <c r="B378" t="s">
        <v>2014</v>
      </c>
      <c r="C378">
        <v>46</v>
      </c>
      <c r="D378" t="s">
        <v>1328</v>
      </c>
      <c r="E378" t="s">
        <v>1388</v>
      </c>
      <c r="F378" t="s">
        <v>1342</v>
      </c>
      <c r="G378">
        <v>6768482698</v>
      </c>
    </row>
    <row r="379" spans="1:7" x14ac:dyDescent="0.3">
      <c r="A379" t="s">
        <v>2015</v>
      </c>
      <c r="B379" t="s">
        <v>2016</v>
      </c>
      <c r="C379">
        <v>19</v>
      </c>
      <c r="D379" t="s">
        <v>1336</v>
      </c>
      <c r="E379" t="s">
        <v>1341</v>
      </c>
      <c r="F379" t="s">
        <v>1342</v>
      </c>
      <c r="G379">
        <v>8191437910</v>
      </c>
    </row>
    <row r="380" spans="1:7" x14ac:dyDescent="0.3">
      <c r="A380" t="s">
        <v>2017</v>
      </c>
      <c r="B380" t="s">
        <v>2018</v>
      </c>
      <c r="C380">
        <v>22</v>
      </c>
      <c r="D380" t="s">
        <v>1336</v>
      </c>
      <c r="E380" t="s">
        <v>1655</v>
      </c>
      <c r="F380" t="s">
        <v>1409</v>
      </c>
      <c r="G380">
        <v>8072441629</v>
      </c>
    </row>
    <row r="381" spans="1:7" x14ac:dyDescent="0.3">
      <c r="A381" t="s">
        <v>2019</v>
      </c>
      <c r="B381" t="s">
        <v>2020</v>
      </c>
      <c r="C381">
        <v>41</v>
      </c>
      <c r="D381" t="s">
        <v>1336</v>
      </c>
      <c r="E381" t="s">
        <v>1655</v>
      </c>
      <c r="F381" t="s">
        <v>1409</v>
      </c>
      <c r="G381">
        <v>6109428064</v>
      </c>
    </row>
    <row r="382" spans="1:7" x14ac:dyDescent="0.3">
      <c r="A382" t="s">
        <v>2021</v>
      </c>
      <c r="B382" t="s">
        <v>2022</v>
      </c>
      <c r="C382">
        <v>62</v>
      </c>
      <c r="D382" t="s">
        <v>1328</v>
      </c>
      <c r="E382" t="s">
        <v>1456</v>
      </c>
      <c r="F382" t="s">
        <v>1394</v>
      </c>
      <c r="G382">
        <v>9094489771</v>
      </c>
    </row>
    <row r="383" spans="1:7" x14ac:dyDescent="0.3">
      <c r="A383" t="s">
        <v>2023</v>
      </c>
      <c r="B383" t="s">
        <v>2024</v>
      </c>
      <c r="C383">
        <v>52</v>
      </c>
      <c r="D383" t="s">
        <v>1336</v>
      </c>
      <c r="E383" t="s">
        <v>1747</v>
      </c>
      <c r="F383" t="s">
        <v>1391</v>
      </c>
      <c r="G383">
        <v>7175036465</v>
      </c>
    </row>
    <row r="384" spans="1:7" x14ac:dyDescent="0.3">
      <c r="A384" t="s">
        <v>1084</v>
      </c>
      <c r="B384" t="s">
        <v>2025</v>
      </c>
      <c r="C384">
        <v>31</v>
      </c>
      <c r="D384" t="s">
        <v>1336</v>
      </c>
      <c r="E384" t="s">
        <v>1591</v>
      </c>
      <c r="F384" t="s">
        <v>1352</v>
      </c>
      <c r="G384">
        <v>7583192159</v>
      </c>
    </row>
    <row r="385" spans="1:7" x14ac:dyDescent="0.3">
      <c r="A385" t="s">
        <v>2026</v>
      </c>
      <c r="B385" t="s">
        <v>2027</v>
      </c>
      <c r="C385">
        <v>25</v>
      </c>
      <c r="D385" t="s">
        <v>1328</v>
      </c>
      <c r="E385" t="s">
        <v>1381</v>
      </c>
      <c r="F385" t="s">
        <v>1352</v>
      </c>
      <c r="G385">
        <v>8858381767</v>
      </c>
    </row>
    <row r="386" spans="1:7" x14ac:dyDescent="0.3">
      <c r="A386" t="s">
        <v>376</v>
      </c>
      <c r="B386" t="s">
        <v>2028</v>
      </c>
      <c r="C386">
        <v>31</v>
      </c>
      <c r="D386" t="s">
        <v>1328</v>
      </c>
      <c r="E386" t="s">
        <v>1425</v>
      </c>
      <c r="F386" t="s">
        <v>1409</v>
      </c>
      <c r="G386">
        <v>8069892910</v>
      </c>
    </row>
    <row r="387" spans="1:7" x14ac:dyDescent="0.3">
      <c r="A387" t="s">
        <v>378</v>
      </c>
      <c r="B387" t="s">
        <v>2029</v>
      </c>
      <c r="C387">
        <v>38</v>
      </c>
      <c r="D387" t="s">
        <v>1336</v>
      </c>
      <c r="E387" t="s">
        <v>1374</v>
      </c>
      <c r="F387" t="s">
        <v>1348</v>
      </c>
      <c r="G387">
        <v>7345329094</v>
      </c>
    </row>
    <row r="388" spans="1:7" x14ac:dyDescent="0.3">
      <c r="A388" t="s">
        <v>2030</v>
      </c>
      <c r="B388" t="s">
        <v>2031</v>
      </c>
      <c r="C388">
        <v>39</v>
      </c>
      <c r="D388" t="s">
        <v>1336</v>
      </c>
      <c r="E388" t="s">
        <v>1332</v>
      </c>
      <c r="F388" t="s">
        <v>1333</v>
      </c>
      <c r="G388">
        <v>6357706083</v>
      </c>
    </row>
    <row r="389" spans="1:7" x14ac:dyDescent="0.3">
      <c r="A389" t="s">
        <v>2032</v>
      </c>
      <c r="B389" t="s">
        <v>2033</v>
      </c>
      <c r="C389">
        <v>60</v>
      </c>
      <c r="D389" t="s">
        <v>1336</v>
      </c>
      <c r="E389" t="s">
        <v>1451</v>
      </c>
      <c r="F389" t="s">
        <v>1445</v>
      </c>
      <c r="G389">
        <v>9814363504</v>
      </c>
    </row>
    <row r="390" spans="1:7" x14ac:dyDescent="0.3">
      <c r="A390" t="s">
        <v>2034</v>
      </c>
      <c r="B390" t="s">
        <v>2035</v>
      </c>
      <c r="C390">
        <v>54</v>
      </c>
      <c r="D390" t="s">
        <v>1336</v>
      </c>
      <c r="E390" t="s">
        <v>1649</v>
      </c>
      <c r="F390" t="s">
        <v>1391</v>
      </c>
      <c r="G390">
        <v>8782160523</v>
      </c>
    </row>
    <row r="391" spans="1:7" x14ac:dyDescent="0.3">
      <c r="A391" t="s">
        <v>2036</v>
      </c>
      <c r="B391" t="s">
        <v>2037</v>
      </c>
      <c r="C391">
        <v>41</v>
      </c>
      <c r="D391" t="s">
        <v>1328</v>
      </c>
      <c r="E391" t="s">
        <v>1397</v>
      </c>
      <c r="F391" t="s">
        <v>1333</v>
      </c>
      <c r="G391">
        <v>9963507825</v>
      </c>
    </row>
    <row r="392" spans="1:7" x14ac:dyDescent="0.3">
      <c r="A392" t="s">
        <v>912</v>
      </c>
      <c r="B392" t="s">
        <v>2038</v>
      </c>
      <c r="C392">
        <v>19</v>
      </c>
      <c r="D392" t="s">
        <v>1328</v>
      </c>
      <c r="E392" t="s">
        <v>1591</v>
      </c>
      <c r="F392" t="s">
        <v>1352</v>
      </c>
      <c r="G392">
        <v>7818073875</v>
      </c>
    </row>
    <row r="393" spans="1:7" x14ac:dyDescent="0.3">
      <c r="A393" t="s">
        <v>80</v>
      </c>
      <c r="B393" t="s">
        <v>2039</v>
      </c>
      <c r="C393">
        <v>26</v>
      </c>
      <c r="D393" t="s">
        <v>1336</v>
      </c>
      <c r="E393" t="s">
        <v>1504</v>
      </c>
      <c r="F393" t="s">
        <v>1394</v>
      </c>
      <c r="G393">
        <v>6322309014</v>
      </c>
    </row>
    <row r="394" spans="1:7" x14ac:dyDescent="0.3">
      <c r="A394" t="s">
        <v>2040</v>
      </c>
      <c r="B394" t="s">
        <v>2041</v>
      </c>
      <c r="C394">
        <v>65</v>
      </c>
      <c r="D394" t="s">
        <v>1328</v>
      </c>
      <c r="E394" t="s">
        <v>1511</v>
      </c>
      <c r="F394" t="s">
        <v>1419</v>
      </c>
      <c r="G394">
        <v>6688894123</v>
      </c>
    </row>
    <row r="395" spans="1:7" x14ac:dyDescent="0.3">
      <c r="A395" t="s">
        <v>2042</v>
      </c>
      <c r="B395" t="s">
        <v>2043</v>
      </c>
      <c r="C395">
        <v>27</v>
      </c>
      <c r="D395" t="s">
        <v>1328</v>
      </c>
      <c r="E395" t="s">
        <v>1361</v>
      </c>
      <c r="F395" t="s">
        <v>1362</v>
      </c>
      <c r="G395">
        <v>6738597530</v>
      </c>
    </row>
    <row r="396" spans="1:7" x14ac:dyDescent="0.3">
      <c r="A396" t="s">
        <v>662</v>
      </c>
      <c r="B396" t="s">
        <v>2044</v>
      </c>
      <c r="C396">
        <v>28</v>
      </c>
      <c r="D396" t="s">
        <v>1336</v>
      </c>
      <c r="E396" t="s">
        <v>1388</v>
      </c>
      <c r="F396" t="s">
        <v>1342</v>
      </c>
      <c r="G396">
        <v>6678632890</v>
      </c>
    </row>
    <row r="397" spans="1:7" x14ac:dyDescent="0.3">
      <c r="A397" t="s">
        <v>1210</v>
      </c>
      <c r="B397" t="s">
        <v>2045</v>
      </c>
      <c r="C397">
        <v>27</v>
      </c>
      <c r="D397" t="s">
        <v>1336</v>
      </c>
      <c r="E397" t="s">
        <v>1388</v>
      </c>
      <c r="F397" t="s">
        <v>1342</v>
      </c>
      <c r="G397">
        <v>7257939950</v>
      </c>
    </row>
    <row r="398" spans="1:7" x14ac:dyDescent="0.3">
      <c r="A398" t="s">
        <v>2046</v>
      </c>
      <c r="B398" t="s">
        <v>2047</v>
      </c>
      <c r="C398">
        <v>19</v>
      </c>
      <c r="D398" t="s">
        <v>1328</v>
      </c>
      <c r="E398" t="s">
        <v>1517</v>
      </c>
      <c r="F398" t="s">
        <v>1362</v>
      </c>
      <c r="G398">
        <v>8851362552</v>
      </c>
    </row>
    <row r="399" spans="1:7" x14ac:dyDescent="0.3">
      <c r="A399" t="s">
        <v>275</v>
      </c>
      <c r="B399" t="s">
        <v>2048</v>
      </c>
      <c r="C399">
        <v>37</v>
      </c>
      <c r="D399" t="s">
        <v>1328</v>
      </c>
      <c r="E399" t="s">
        <v>1463</v>
      </c>
      <c r="F399" t="s">
        <v>1391</v>
      </c>
      <c r="G399">
        <v>6130178493</v>
      </c>
    </row>
    <row r="400" spans="1:7" x14ac:dyDescent="0.3">
      <c r="A400" t="s">
        <v>2049</v>
      </c>
      <c r="B400" t="s">
        <v>2050</v>
      </c>
      <c r="C400">
        <v>30</v>
      </c>
      <c r="D400" t="s">
        <v>1328</v>
      </c>
      <c r="E400" t="s">
        <v>1475</v>
      </c>
      <c r="F400" t="s">
        <v>1419</v>
      </c>
      <c r="G400">
        <v>8744988469</v>
      </c>
    </row>
    <row r="401" spans="1:7" x14ac:dyDescent="0.3">
      <c r="A401" t="s">
        <v>1206</v>
      </c>
      <c r="B401" t="s">
        <v>2051</v>
      </c>
      <c r="C401">
        <v>39</v>
      </c>
      <c r="D401" t="s">
        <v>1336</v>
      </c>
      <c r="E401" t="s">
        <v>1832</v>
      </c>
      <c r="F401" t="s">
        <v>1368</v>
      </c>
      <c r="G401">
        <v>7236305041</v>
      </c>
    </row>
    <row r="402" spans="1:7" x14ac:dyDescent="0.3">
      <c r="A402" t="s">
        <v>397</v>
      </c>
      <c r="B402" t="s">
        <v>2052</v>
      </c>
      <c r="C402">
        <v>24</v>
      </c>
      <c r="D402" t="s">
        <v>1336</v>
      </c>
      <c r="E402" t="s">
        <v>1832</v>
      </c>
      <c r="F402" t="s">
        <v>1368</v>
      </c>
      <c r="G402">
        <v>9583838912</v>
      </c>
    </row>
    <row r="403" spans="1:7" x14ac:dyDescent="0.3">
      <c r="A403" t="s">
        <v>1044</v>
      </c>
      <c r="B403" t="s">
        <v>2053</v>
      </c>
      <c r="C403">
        <v>63</v>
      </c>
      <c r="D403" t="s">
        <v>1336</v>
      </c>
      <c r="E403" t="s">
        <v>1602</v>
      </c>
      <c r="F403" t="s">
        <v>1400</v>
      </c>
      <c r="G403">
        <v>6089229871</v>
      </c>
    </row>
    <row r="404" spans="1:7" x14ac:dyDescent="0.3">
      <c r="A404" t="s">
        <v>197</v>
      </c>
      <c r="B404" t="s">
        <v>2054</v>
      </c>
      <c r="C404">
        <v>58</v>
      </c>
      <c r="D404" t="s">
        <v>1328</v>
      </c>
      <c r="E404" t="s">
        <v>1411</v>
      </c>
      <c r="F404" t="s">
        <v>1356</v>
      </c>
      <c r="G404">
        <v>9447264002</v>
      </c>
    </row>
    <row r="405" spans="1:7" x14ac:dyDescent="0.3">
      <c r="A405" t="s">
        <v>1042</v>
      </c>
      <c r="B405" t="s">
        <v>2055</v>
      </c>
      <c r="C405">
        <v>57</v>
      </c>
      <c r="D405" t="s">
        <v>1328</v>
      </c>
      <c r="E405" t="s">
        <v>1365</v>
      </c>
      <c r="F405" t="s">
        <v>1352</v>
      </c>
      <c r="G405">
        <v>6621197943</v>
      </c>
    </row>
    <row r="406" spans="1:7" x14ac:dyDescent="0.3">
      <c r="A406" t="s">
        <v>227</v>
      </c>
      <c r="B406" t="s">
        <v>2056</v>
      </c>
      <c r="C406">
        <v>50</v>
      </c>
      <c r="D406" t="s">
        <v>1328</v>
      </c>
      <c r="E406" t="s">
        <v>1556</v>
      </c>
      <c r="F406" t="s">
        <v>1333</v>
      </c>
      <c r="G406">
        <v>8555505457</v>
      </c>
    </row>
    <row r="407" spans="1:7" x14ac:dyDescent="0.3">
      <c r="A407" t="s">
        <v>1018</v>
      </c>
      <c r="B407" t="s">
        <v>2057</v>
      </c>
      <c r="C407">
        <v>44</v>
      </c>
      <c r="D407" t="s">
        <v>1336</v>
      </c>
      <c r="E407" t="s">
        <v>1441</v>
      </c>
      <c r="F407" t="s">
        <v>1394</v>
      </c>
      <c r="G407">
        <v>7510730486</v>
      </c>
    </row>
    <row r="408" spans="1:7" x14ac:dyDescent="0.3">
      <c r="A408" t="s">
        <v>2058</v>
      </c>
      <c r="B408" t="s">
        <v>2059</v>
      </c>
      <c r="C408">
        <v>59</v>
      </c>
      <c r="D408" t="s">
        <v>1336</v>
      </c>
      <c r="E408" t="s">
        <v>1377</v>
      </c>
      <c r="F408" t="s">
        <v>1368</v>
      </c>
      <c r="G408">
        <v>8877731580</v>
      </c>
    </row>
    <row r="409" spans="1:7" x14ac:dyDescent="0.3">
      <c r="A409" t="s">
        <v>2060</v>
      </c>
      <c r="B409" t="s">
        <v>2061</v>
      </c>
      <c r="C409">
        <v>35</v>
      </c>
      <c r="D409" t="s">
        <v>1328</v>
      </c>
      <c r="E409" t="s">
        <v>1542</v>
      </c>
      <c r="F409" t="s">
        <v>1409</v>
      </c>
      <c r="G409">
        <v>7602671335</v>
      </c>
    </row>
    <row r="410" spans="1:7" x14ac:dyDescent="0.3">
      <c r="A410" t="s">
        <v>2062</v>
      </c>
      <c r="B410" t="s">
        <v>2063</v>
      </c>
      <c r="C410">
        <v>58</v>
      </c>
      <c r="D410" t="s">
        <v>1336</v>
      </c>
      <c r="E410" t="s">
        <v>1478</v>
      </c>
      <c r="F410" t="s">
        <v>1391</v>
      </c>
      <c r="G410">
        <v>8567331649</v>
      </c>
    </row>
    <row r="411" spans="1:7" x14ac:dyDescent="0.3">
      <c r="A411" t="s">
        <v>2064</v>
      </c>
      <c r="B411" t="s">
        <v>2065</v>
      </c>
      <c r="C411">
        <v>20</v>
      </c>
      <c r="D411" t="s">
        <v>1336</v>
      </c>
      <c r="E411" t="s">
        <v>1365</v>
      </c>
      <c r="F411" t="s">
        <v>1352</v>
      </c>
      <c r="G411">
        <v>9689967286</v>
      </c>
    </row>
    <row r="412" spans="1:7" x14ac:dyDescent="0.3">
      <c r="A412" t="s">
        <v>1108</v>
      </c>
      <c r="B412" t="s">
        <v>2066</v>
      </c>
      <c r="C412">
        <v>40</v>
      </c>
      <c r="D412" t="s">
        <v>1336</v>
      </c>
      <c r="E412" t="s">
        <v>1386</v>
      </c>
      <c r="F412" t="s">
        <v>1338</v>
      </c>
      <c r="G412">
        <v>9903060960</v>
      </c>
    </row>
    <row r="413" spans="1:7" x14ac:dyDescent="0.3">
      <c r="A413" t="s">
        <v>2067</v>
      </c>
      <c r="B413" t="s">
        <v>2068</v>
      </c>
      <c r="C413">
        <v>56</v>
      </c>
      <c r="D413" t="s">
        <v>1328</v>
      </c>
      <c r="E413" t="s">
        <v>1591</v>
      </c>
      <c r="F413" t="s">
        <v>1352</v>
      </c>
      <c r="G413">
        <v>9794695790</v>
      </c>
    </row>
    <row r="414" spans="1:7" x14ac:dyDescent="0.3">
      <c r="A414" t="s">
        <v>2069</v>
      </c>
      <c r="B414" t="s">
        <v>2070</v>
      </c>
      <c r="C414">
        <v>60</v>
      </c>
      <c r="D414" t="s">
        <v>1328</v>
      </c>
      <c r="E414" t="s">
        <v>1498</v>
      </c>
      <c r="F414" t="s">
        <v>1362</v>
      </c>
      <c r="G414">
        <v>9341064722</v>
      </c>
    </row>
    <row r="415" spans="1:7" x14ac:dyDescent="0.3">
      <c r="A415" t="s">
        <v>2071</v>
      </c>
      <c r="B415" t="s">
        <v>2072</v>
      </c>
      <c r="C415">
        <v>52</v>
      </c>
      <c r="D415" t="s">
        <v>1328</v>
      </c>
      <c r="E415" t="s">
        <v>1413</v>
      </c>
      <c r="F415" t="s">
        <v>1348</v>
      </c>
      <c r="G415">
        <v>6455505257</v>
      </c>
    </row>
    <row r="416" spans="1:7" x14ac:dyDescent="0.3">
      <c r="A416" t="s">
        <v>1086</v>
      </c>
      <c r="B416" t="s">
        <v>2073</v>
      </c>
      <c r="C416">
        <v>59</v>
      </c>
      <c r="D416" t="s">
        <v>1328</v>
      </c>
      <c r="E416" t="s">
        <v>1832</v>
      </c>
      <c r="F416" t="s">
        <v>1368</v>
      </c>
      <c r="G416">
        <v>9701092520</v>
      </c>
    </row>
    <row r="417" spans="1:7" x14ac:dyDescent="0.3">
      <c r="A417" t="s">
        <v>2074</v>
      </c>
      <c r="B417" t="s">
        <v>2075</v>
      </c>
      <c r="C417">
        <v>57</v>
      </c>
      <c r="D417" t="s">
        <v>1328</v>
      </c>
      <c r="E417" t="s">
        <v>1713</v>
      </c>
      <c r="F417" t="s">
        <v>1409</v>
      </c>
      <c r="G417">
        <v>9781772054</v>
      </c>
    </row>
    <row r="418" spans="1:7" x14ac:dyDescent="0.3">
      <c r="A418" t="s">
        <v>2076</v>
      </c>
      <c r="B418" t="s">
        <v>2077</v>
      </c>
      <c r="C418">
        <v>59</v>
      </c>
      <c r="D418" t="s">
        <v>1336</v>
      </c>
      <c r="E418" t="s">
        <v>1770</v>
      </c>
      <c r="F418" t="s">
        <v>1400</v>
      </c>
      <c r="G418">
        <v>8551861248</v>
      </c>
    </row>
    <row r="419" spans="1:7" x14ac:dyDescent="0.3">
      <c r="A419" t="s">
        <v>2078</v>
      </c>
      <c r="B419" t="s">
        <v>2079</v>
      </c>
      <c r="C419">
        <v>21</v>
      </c>
      <c r="D419" t="s">
        <v>1336</v>
      </c>
      <c r="E419" t="s">
        <v>1408</v>
      </c>
      <c r="F419" t="s">
        <v>1409</v>
      </c>
      <c r="G419">
        <v>9645648564</v>
      </c>
    </row>
    <row r="420" spans="1:7" x14ac:dyDescent="0.3">
      <c r="A420" t="s">
        <v>2080</v>
      </c>
      <c r="B420" t="s">
        <v>2081</v>
      </c>
      <c r="C420">
        <v>58</v>
      </c>
      <c r="D420" t="s">
        <v>1328</v>
      </c>
      <c r="E420" t="s">
        <v>1456</v>
      </c>
      <c r="F420" t="s">
        <v>1394</v>
      </c>
      <c r="G420">
        <v>8194016699</v>
      </c>
    </row>
    <row r="421" spans="1:7" x14ac:dyDescent="0.3">
      <c r="A421" t="s">
        <v>2082</v>
      </c>
      <c r="B421" t="s">
        <v>2083</v>
      </c>
      <c r="C421">
        <v>49</v>
      </c>
      <c r="D421" t="s">
        <v>1336</v>
      </c>
      <c r="E421" t="s">
        <v>1649</v>
      </c>
      <c r="F421" t="s">
        <v>1391</v>
      </c>
      <c r="G421">
        <v>9176011204</v>
      </c>
    </row>
    <row r="422" spans="1:7" x14ac:dyDescent="0.3">
      <c r="A422" t="s">
        <v>2084</v>
      </c>
      <c r="B422" t="s">
        <v>2085</v>
      </c>
      <c r="C422">
        <v>42</v>
      </c>
      <c r="D422" t="s">
        <v>1336</v>
      </c>
      <c r="E422" t="s">
        <v>1498</v>
      </c>
      <c r="F422" t="s">
        <v>1362</v>
      </c>
      <c r="G422">
        <v>7637242080</v>
      </c>
    </row>
    <row r="423" spans="1:7" x14ac:dyDescent="0.3">
      <c r="A423" t="s">
        <v>1300</v>
      </c>
      <c r="B423" t="s">
        <v>2086</v>
      </c>
      <c r="C423">
        <v>21</v>
      </c>
      <c r="D423" t="s">
        <v>1328</v>
      </c>
      <c r="E423" t="s">
        <v>1381</v>
      </c>
      <c r="F423" t="s">
        <v>1352</v>
      </c>
      <c r="G423">
        <v>7500845540</v>
      </c>
    </row>
    <row r="424" spans="1:7" x14ac:dyDescent="0.3">
      <c r="A424" t="s">
        <v>996</v>
      </c>
      <c r="B424" t="s">
        <v>2087</v>
      </c>
      <c r="C424">
        <v>43</v>
      </c>
      <c r="D424" t="s">
        <v>1336</v>
      </c>
      <c r="E424" t="s">
        <v>1649</v>
      </c>
      <c r="F424" t="s">
        <v>1391</v>
      </c>
      <c r="G424">
        <v>6424757105</v>
      </c>
    </row>
    <row r="425" spans="1:7" x14ac:dyDescent="0.3">
      <c r="A425" t="s">
        <v>2088</v>
      </c>
      <c r="B425" t="s">
        <v>2089</v>
      </c>
      <c r="C425">
        <v>50</v>
      </c>
      <c r="D425" t="s">
        <v>1336</v>
      </c>
      <c r="E425" t="s">
        <v>1388</v>
      </c>
      <c r="F425" t="s">
        <v>1342</v>
      </c>
      <c r="G425">
        <v>6999478002</v>
      </c>
    </row>
    <row r="426" spans="1:7" x14ac:dyDescent="0.3">
      <c r="A426" t="s">
        <v>2090</v>
      </c>
      <c r="B426" t="s">
        <v>2091</v>
      </c>
      <c r="C426">
        <v>21</v>
      </c>
      <c r="D426" t="s">
        <v>1328</v>
      </c>
      <c r="E426" t="s">
        <v>1365</v>
      </c>
      <c r="F426" t="s">
        <v>1352</v>
      </c>
      <c r="G426">
        <v>7139718262</v>
      </c>
    </row>
    <row r="427" spans="1:7" x14ac:dyDescent="0.3">
      <c r="A427" t="s">
        <v>114</v>
      </c>
      <c r="B427" t="s">
        <v>2092</v>
      </c>
      <c r="C427">
        <v>51</v>
      </c>
      <c r="D427" t="s">
        <v>1328</v>
      </c>
      <c r="E427" t="s">
        <v>1367</v>
      </c>
      <c r="F427" t="s">
        <v>1368</v>
      </c>
      <c r="G427">
        <v>7851899263</v>
      </c>
    </row>
    <row r="428" spans="1:7" x14ac:dyDescent="0.3">
      <c r="A428" t="s">
        <v>2093</v>
      </c>
      <c r="B428" t="s">
        <v>2094</v>
      </c>
      <c r="C428">
        <v>34</v>
      </c>
      <c r="D428" t="s">
        <v>1336</v>
      </c>
      <c r="E428" t="s">
        <v>1463</v>
      </c>
      <c r="F428" t="s">
        <v>1391</v>
      </c>
      <c r="G428">
        <v>6271388202</v>
      </c>
    </row>
    <row r="429" spans="1:7" x14ac:dyDescent="0.3">
      <c r="A429" t="s">
        <v>9</v>
      </c>
      <c r="B429" t="s">
        <v>2095</v>
      </c>
      <c r="C429">
        <v>25</v>
      </c>
      <c r="D429" t="s">
        <v>1336</v>
      </c>
      <c r="E429" t="s">
        <v>1422</v>
      </c>
      <c r="F429" t="s">
        <v>1330</v>
      </c>
      <c r="G429">
        <v>7121253480</v>
      </c>
    </row>
    <row r="430" spans="1:7" x14ac:dyDescent="0.3">
      <c r="A430" t="s">
        <v>2096</v>
      </c>
      <c r="B430" t="s">
        <v>2097</v>
      </c>
      <c r="C430">
        <v>46</v>
      </c>
      <c r="D430" t="s">
        <v>1336</v>
      </c>
      <c r="E430" t="s">
        <v>1438</v>
      </c>
      <c r="F430" t="s">
        <v>1419</v>
      </c>
      <c r="G430">
        <v>6618501320</v>
      </c>
    </row>
    <row r="431" spans="1:7" x14ac:dyDescent="0.3">
      <c r="A431" t="s">
        <v>2098</v>
      </c>
      <c r="B431" t="s">
        <v>2099</v>
      </c>
      <c r="C431">
        <v>42</v>
      </c>
      <c r="D431" t="s">
        <v>1336</v>
      </c>
      <c r="E431" t="s">
        <v>1351</v>
      </c>
      <c r="F431" t="s">
        <v>1352</v>
      </c>
      <c r="G431">
        <v>6802051245</v>
      </c>
    </row>
    <row r="432" spans="1:7" x14ac:dyDescent="0.3">
      <c r="A432" t="s">
        <v>2100</v>
      </c>
      <c r="B432" t="s">
        <v>2101</v>
      </c>
      <c r="C432">
        <v>36</v>
      </c>
      <c r="D432" t="s">
        <v>1328</v>
      </c>
      <c r="E432" t="s">
        <v>1367</v>
      </c>
      <c r="F432" t="s">
        <v>1368</v>
      </c>
      <c r="G432">
        <v>6034585060</v>
      </c>
    </row>
    <row r="433" spans="1:7" x14ac:dyDescent="0.3">
      <c r="A433" t="s">
        <v>21</v>
      </c>
      <c r="B433" t="s">
        <v>2102</v>
      </c>
      <c r="C433">
        <v>18</v>
      </c>
      <c r="D433" t="s">
        <v>1336</v>
      </c>
      <c r="E433" t="s">
        <v>1371</v>
      </c>
      <c r="F433" t="s">
        <v>1342</v>
      </c>
      <c r="G433">
        <v>8692601481</v>
      </c>
    </row>
    <row r="434" spans="1:7" x14ac:dyDescent="0.3">
      <c r="A434" t="s">
        <v>2103</v>
      </c>
      <c r="B434" t="s">
        <v>2104</v>
      </c>
      <c r="C434">
        <v>43</v>
      </c>
      <c r="D434" t="s">
        <v>1336</v>
      </c>
      <c r="E434" t="s">
        <v>1441</v>
      </c>
      <c r="F434" t="s">
        <v>1394</v>
      </c>
      <c r="G434">
        <v>8586589545</v>
      </c>
    </row>
    <row r="435" spans="1:7" x14ac:dyDescent="0.3">
      <c r="A435" t="s">
        <v>2105</v>
      </c>
      <c r="B435" t="s">
        <v>2106</v>
      </c>
      <c r="C435">
        <v>48</v>
      </c>
      <c r="D435" t="s">
        <v>1336</v>
      </c>
      <c r="E435" t="s">
        <v>1345</v>
      </c>
      <c r="F435" t="s">
        <v>1330</v>
      </c>
      <c r="G435">
        <v>6190240832</v>
      </c>
    </row>
    <row r="436" spans="1:7" x14ac:dyDescent="0.3">
      <c r="A436" t="s">
        <v>2107</v>
      </c>
      <c r="B436" t="s">
        <v>2108</v>
      </c>
      <c r="C436">
        <v>30</v>
      </c>
      <c r="D436" t="s">
        <v>1328</v>
      </c>
      <c r="E436" t="s">
        <v>1451</v>
      </c>
      <c r="F436" t="s">
        <v>1445</v>
      </c>
      <c r="G436">
        <v>7857617573</v>
      </c>
    </row>
    <row r="437" spans="1:7" x14ac:dyDescent="0.3">
      <c r="A437" t="s">
        <v>2109</v>
      </c>
      <c r="B437" t="s">
        <v>2110</v>
      </c>
      <c r="C437">
        <v>44</v>
      </c>
      <c r="D437" t="s">
        <v>1328</v>
      </c>
      <c r="E437" t="s">
        <v>1337</v>
      </c>
      <c r="F437" t="s">
        <v>1338</v>
      </c>
      <c r="G437">
        <v>9876124797</v>
      </c>
    </row>
    <row r="438" spans="1:7" x14ac:dyDescent="0.3">
      <c r="A438" t="s">
        <v>2111</v>
      </c>
      <c r="B438" t="s">
        <v>2112</v>
      </c>
      <c r="C438">
        <v>29</v>
      </c>
      <c r="D438" t="s">
        <v>1328</v>
      </c>
      <c r="E438" t="s">
        <v>1591</v>
      </c>
      <c r="F438" t="s">
        <v>1352</v>
      </c>
      <c r="G438">
        <v>6670148906</v>
      </c>
    </row>
    <row r="439" spans="1:7" x14ac:dyDescent="0.3">
      <c r="A439" t="s">
        <v>2113</v>
      </c>
      <c r="B439" t="s">
        <v>2114</v>
      </c>
      <c r="C439">
        <v>56</v>
      </c>
      <c r="D439" t="s">
        <v>1336</v>
      </c>
      <c r="E439" t="s">
        <v>1602</v>
      </c>
      <c r="F439" t="s">
        <v>1400</v>
      </c>
      <c r="G439">
        <v>9465000691</v>
      </c>
    </row>
    <row r="440" spans="1:7" x14ac:dyDescent="0.3">
      <c r="A440" t="s">
        <v>2115</v>
      </c>
      <c r="B440" t="s">
        <v>2116</v>
      </c>
      <c r="C440">
        <v>31</v>
      </c>
      <c r="D440" t="s">
        <v>1336</v>
      </c>
      <c r="E440" t="s">
        <v>1411</v>
      </c>
      <c r="F440" t="s">
        <v>1356</v>
      </c>
      <c r="G440">
        <v>9836287006</v>
      </c>
    </row>
    <row r="441" spans="1:7" x14ac:dyDescent="0.3">
      <c r="A441" t="s">
        <v>2117</v>
      </c>
      <c r="B441" t="s">
        <v>2118</v>
      </c>
      <c r="C441">
        <v>18</v>
      </c>
      <c r="D441" t="s">
        <v>1328</v>
      </c>
      <c r="E441" t="s">
        <v>1599</v>
      </c>
      <c r="F441" t="s">
        <v>1400</v>
      </c>
      <c r="G441">
        <v>8606394276</v>
      </c>
    </row>
    <row r="442" spans="1:7" x14ac:dyDescent="0.3">
      <c r="A442" t="s">
        <v>306</v>
      </c>
      <c r="B442" t="s">
        <v>2119</v>
      </c>
      <c r="C442">
        <v>29</v>
      </c>
      <c r="D442" t="s">
        <v>1328</v>
      </c>
      <c r="E442" t="s">
        <v>1329</v>
      </c>
      <c r="F442" t="s">
        <v>1330</v>
      </c>
      <c r="G442">
        <v>7321777339</v>
      </c>
    </row>
    <row r="443" spans="1:7" x14ac:dyDescent="0.3">
      <c r="A443" t="s">
        <v>2120</v>
      </c>
      <c r="B443" t="s">
        <v>2121</v>
      </c>
      <c r="C443">
        <v>38</v>
      </c>
      <c r="D443" t="s">
        <v>1336</v>
      </c>
      <c r="E443" t="s">
        <v>1591</v>
      </c>
      <c r="F443" t="s">
        <v>1352</v>
      </c>
      <c r="G443">
        <v>6050038006</v>
      </c>
    </row>
    <row r="444" spans="1:7" x14ac:dyDescent="0.3">
      <c r="A444" t="s">
        <v>445</v>
      </c>
      <c r="B444" t="s">
        <v>2122</v>
      </c>
      <c r="C444">
        <v>56</v>
      </c>
      <c r="D444" t="s">
        <v>1336</v>
      </c>
      <c r="E444" t="s">
        <v>1637</v>
      </c>
      <c r="F444" t="s">
        <v>1368</v>
      </c>
      <c r="G444">
        <v>8792169089</v>
      </c>
    </row>
    <row r="445" spans="1:7" x14ac:dyDescent="0.3">
      <c r="A445" t="s">
        <v>121</v>
      </c>
      <c r="B445" t="s">
        <v>2123</v>
      </c>
      <c r="C445">
        <v>53</v>
      </c>
      <c r="D445" t="s">
        <v>1336</v>
      </c>
      <c r="E445" t="s">
        <v>1386</v>
      </c>
      <c r="F445" t="s">
        <v>1338</v>
      </c>
      <c r="G445">
        <v>8137997712</v>
      </c>
    </row>
    <row r="446" spans="1:7" x14ac:dyDescent="0.3">
      <c r="A446" t="s">
        <v>2124</v>
      </c>
      <c r="B446" t="s">
        <v>2125</v>
      </c>
      <c r="C446">
        <v>62</v>
      </c>
      <c r="D446" t="s">
        <v>1328</v>
      </c>
      <c r="E446" t="s">
        <v>1591</v>
      </c>
      <c r="F446" t="s">
        <v>1352</v>
      </c>
      <c r="G446">
        <v>8534338864</v>
      </c>
    </row>
    <row r="447" spans="1:7" x14ac:dyDescent="0.3">
      <c r="A447" t="s">
        <v>2126</v>
      </c>
      <c r="B447" t="s">
        <v>2127</v>
      </c>
      <c r="C447">
        <v>60</v>
      </c>
      <c r="D447" t="s">
        <v>1328</v>
      </c>
      <c r="E447" t="s">
        <v>1418</v>
      </c>
      <c r="F447" t="s">
        <v>1419</v>
      </c>
      <c r="G447">
        <v>9170862908</v>
      </c>
    </row>
    <row r="448" spans="1:7" x14ac:dyDescent="0.3">
      <c r="A448" t="s">
        <v>2128</v>
      </c>
      <c r="B448" t="s">
        <v>2129</v>
      </c>
      <c r="C448">
        <v>32</v>
      </c>
      <c r="D448" t="s">
        <v>1328</v>
      </c>
      <c r="E448" t="s">
        <v>1371</v>
      </c>
      <c r="F448" t="s">
        <v>1342</v>
      </c>
      <c r="G448">
        <v>7843886733</v>
      </c>
    </row>
    <row r="449" spans="1:7" x14ac:dyDescent="0.3">
      <c r="A449" t="s">
        <v>402</v>
      </c>
      <c r="B449" t="s">
        <v>2130</v>
      </c>
      <c r="C449">
        <v>36</v>
      </c>
      <c r="D449" t="s">
        <v>1328</v>
      </c>
      <c r="E449" t="s">
        <v>1747</v>
      </c>
      <c r="F449" t="s">
        <v>1391</v>
      </c>
      <c r="G449">
        <v>7669312984</v>
      </c>
    </row>
    <row r="450" spans="1:7" x14ac:dyDescent="0.3">
      <c r="A450" t="s">
        <v>1002</v>
      </c>
      <c r="B450" t="s">
        <v>2131</v>
      </c>
      <c r="C450">
        <v>46</v>
      </c>
      <c r="D450" t="s">
        <v>1328</v>
      </c>
      <c r="E450" t="s">
        <v>1393</v>
      </c>
      <c r="F450" t="s">
        <v>1394</v>
      </c>
      <c r="G450">
        <v>9432272104</v>
      </c>
    </row>
    <row r="451" spans="1:7" x14ac:dyDescent="0.3">
      <c r="A451" t="s">
        <v>2132</v>
      </c>
      <c r="B451" t="s">
        <v>2133</v>
      </c>
      <c r="C451">
        <v>20</v>
      </c>
      <c r="D451" t="s">
        <v>1336</v>
      </c>
      <c r="E451" t="s">
        <v>1770</v>
      </c>
      <c r="F451" t="s">
        <v>1400</v>
      </c>
      <c r="G451">
        <v>8778138052</v>
      </c>
    </row>
    <row r="452" spans="1:7" x14ac:dyDescent="0.3">
      <c r="A452" t="s">
        <v>441</v>
      </c>
      <c r="B452" t="s">
        <v>2134</v>
      </c>
      <c r="C452">
        <v>27</v>
      </c>
      <c r="D452" t="s">
        <v>1328</v>
      </c>
      <c r="E452" t="s">
        <v>1390</v>
      </c>
      <c r="F452" t="s">
        <v>1391</v>
      </c>
      <c r="G452">
        <v>7561386124</v>
      </c>
    </row>
    <row r="453" spans="1:7" x14ac:dyDescent="0.3">
      <c r="A453" t="s">
        <v>2135</v>
      </c>
      <c r="B453" t="s">
        <v>2136</v>
      </c>
      <c r="C453">
        <v>53</v>
      </c>
      <c r="D453" t="s">
        <v>1336</v>
      </c>
      <c r="E453" t="s">
        <v>1637</v>
      </c>
      <c r="F453" t="s">
        <v>1368</v>
      </c>
      <c r="G453">
        <v>7765425438</v>
      </c>
    </row>
    <row r="454" spans="1:7" x14ac:dyDescent="0.3">
      <c r="A454" t="s">
        <v>164</v>
      </c>
      <c r="B454" t="s">
        <v>2137</v>
      </c>
      <c r="C454">
        <v>35</v>
      </c>
      <c r="D454" t="s">
        <v>1336</v>
      </c>
      <c r="E454" t="s">
        <v>1403</v>
      </c>
      <c r="F454" t="s">
        <v>1362</v>
      </c>
      <c r="G454">
        <v>8240746138</v>
      </c>
    </row>
    <row r="455" spans="1:7" x14ac:dyDescent="0.3">
      <c r="A455" t="s">
        <v>895</v>
      </c>
      <c r="B455" t="s">
        <v>2138</v>
      </c>
      <c r="C455">
        <v>22</v>
      </c>
      <c r="D455" t="s">
        <v>1336</v>
      </c>
      <c r="E455" t="s">
        <v>1438</v>
      </c>
      <c r="F455" t="s">
        <v>1419</v>
      </c>
      <c r="G455">
        <v>9229372705</v>
      </c>
    </row>
    <row r="456" spans="1:7" x14ac:dyDescent="0.3">
      <c r="A456" t="s">
        <v>2139</v>
      </c>
      <c r="B456" t="s">
        <v>2140</v>
      </c>
      <c r="C456">
        <v>57</v>
      </c>
      <c r="D456" t="s">
        <v>1336</v>
      </c>
      <c r="E456" t="s">
        <v>1399</v>
      </c>
      <c r="F456" t="s">
        <v>1400</v>
      </c>
      <c r="G456">
        <v>9423786559</v>
      </c>
    </row>
    <row r="457" spans="1:7" x14ac:dyDescent="0.3">
      <c r="A457" t="s">
        <v>2141</v>
      </c>
      <c r="B457" t="s">
        <v>2142</v>
      </c>
      <c r="C457">
        <v>30</v>
      </c>
      <c r="D457" t="s">
        <v>1328</v>
      </c>
      <c r="E457" t="s">
        <v>1332</v>
      </c>
      <c r="F457" t="s">
        <v>1333</v>
      </c>
      <c r="G457">
        <v>8385340399</v>
      </c>
    </row>
    <row r="458" spans="1:7" x14ac:dyDescent="0.3">
      <c r="A458" t="s">
        <v>2143</v>
      </c>
      <c r="B458" t="s">
        <v>2144</v>
      </c>
      <c r="C458">
        <v>18</v>
      </c>
      <c r="D458" t="s">
        <v>1336</v>
      </c>
      <c r="E458" t="s">
        <v>1498</v>
      </c>
      <c r="F458" t="s">
        <v>1362</v>
      </c>
      <c r="G458">
        <v>8770423070</v>
      </c>
    </row>
    <row r="459" spans="1:7" x14ac:dyDescent="0.3">
      <c r="A459" t="s">
        <v>2145</v>
      </c>
      <c r="B459" t="s">
        <v>2146</v>
      </c>
      <c r="C459">
        <v>54</v>
      </c>
      <c r="D459" t="s">
        <v>1328</v>
      </c>
      <c r="E459" t="s">
        <v>1504</v>
      </c>
      <c r="F459" t="s">
        <v>1394</v>
      </c>
      <c r="G459">
        <v>6296417171</v>
      </c>
    </row>
    <row r="460" spans="1:7" x14ac:dyDescent="0.3">
      <c r="A460" t="s">
        <v>2147</v>
      </c>
      <c r="B460" t="s">
        <v>2148</v>
      </c>
      <c r="C460">
        <v>45</v>
      </c>
      <c r="D460" t="s">
        <v>1328</v>
      </c>
      <c r="E460" t="s">
        <v>1478</v>
      </c>
      <c r="F460" t="s">
        <v>1391</v>
      </c>
      <c r="G460">
        <v>6680286095</v>
      </c>
    </row>
    <row r="461" spans="1:7" x14ac:dyDescent="0.3">
      <c r="A461" t="s">
        <v>2149</v>
      </c>
      <c r="B461" t="s">
        <v>2150</v>
      </c>
      <c r="C461">
        <v>51</v>
      </c>
      <c r="D461" t="s">
        <v>1336</v>
      </c>
      <c r="E461" t="s">
        <v>1361</v>
      </c>
      <c r="F461" t="s">
        <v>1362</v>
      </c>
      <c r="G461">
        <v>8288194343</v>
      </c>
    </row>
    <row r="462" spans="1:7" x14ac:dyDescent="0.3">
      <c r="A462" t="s">
        <v>1178</v>
      </c>
      <c r="B462" t="s">
        <v>2151</v>
      </c>
      <c r="C462">
        <v>39</v>
      </c>
      <c r="D462" t="s">
        <v>1336</v>
      </c>
      <c r="E462" t="s">
        <v>1383</v>
      </c>
      <c r="F462" t="s">
        <v>1338</v>
      </c>
      <c r="G462">
        <v>8246535744</v>
      </c>
    </row>
    <row r="463" spans="1:7" x14ac:dyDescent="0.3">
      <c r="A463" t="s">
        <v>2152</v>
      </c>
      <c r="B463" t="s">
        <v>2153</v>
      </c>
      <c r="C463">
        <v>54</v>
      </c>
      <c r="D463" t="s">
        <v>1336</v>
      </c>
      <c r="E463" t="s">
        <v>1393</v>
      </c>
      <c r="F463" t="s">
        <v>1394</v>
      </c>
      <c r="G463">
        <v>9915038975</v>
      </c>
    </row>
    <row r="464" spans="1:7" x14ac:dyDescent="0.3">
      <c r="A464" t="s">
        <v>1094</v>
      </c>
      <c r="B464" t="s">
        <v>2154</v>
      </c>
      <c r="C464">
        <v>40</v>
      </c>
      <c r="D464" t="s">
        <v>1328</v>
      </c>
      <c r="E464" t="s">
        <v>1438</v>
      </c>
      <c r="F464" t="s">
        <v>1419</v>
      </c>
      <c r="G464">
        <v>9861841670</v>
      </c>
    </row>
    <row r="465" spans="1:7" x14ac:dyDescent="0.3">
      <c r="A465" t="s">
        <v>203</v>
      </c>
      <c r="B465" t="s">
        <v>2155</v>
      </c>
      <c r="C465">
        <v>49</v>
      </c>
      <c r="D465" t="s">
        <v>1328</v>
      </c>
      <c r="E465" t="s">
        <v>1511</v>
      </c>
      <c r="F465" t="s">
        <v>1419</v>
      </c>
      <c r="G465">
        <v>9934764766</v>
      </c>
    </row>
    <row r="466" spans="1:7" x14ac:dyDescent="0.3">
      <c r="A466" t="s">
        <v>2156</v>
      </c>
      <c r="B466" t="s">
        <v>2157</v>
      </c>
      <c r="C466">
        <v>53</v>
      </c>
      <c r="D466" t="s">
        <v>1328</v>
      </c>
      <c r="E466" t="s">
        <v>1332</v>
      </c>
      <c r="F466" t="s">
        <v>1333</v>
      </c>
      <c r="G466">
        <v>7051624899</v>
      </c>
    </row>
    <row r="467" spans="1:7" x14ac:dyDescent="0.3">
      <c r="A467" t="s">
        <v>1260</v>
      </c>
      <c r="B467" t="s">
        <v>2158</v>
      </c>
      <c r="C467">
        <v>53</v>
      </c>
      <c r="D467" t="s">
        <v>1336</v>
      </c>
      <c r="E467" t="s">
        <v>1358</v>
      </c>
      <c r="F467" t="s">
        <v>1356</v>
      </c>
      <c r="G467">
        <v>7276150261</v>
      </c>
    </row>
    <row r="468" spans="1:7" x14ac:dyDescent="0.3">
      <c r="A468" t="s">
        <v>340</v>
      </c>
      <c r="B468" t="s">
        <v>2159</v>
      </c>
      <c r="C468">
        <v>54</v>
      </c>
      <c r="D468" t="s">
        <v>1328</v>
      </c>
      <c r="E468" t="s">
        <v>1329</v>
      </c>
      <c r="F468" t="s">
        <v>1330</v>
      </c>
      <c r="G468">
        <v>7931457464</v>
      </c>
    </row>
    <row r="469" spans="1:7" x14ac:dyDescent="0.3">
      <c r="A469" t="s">
        <v>2160</v>
      </c>
      <c r="B469" t="s">
        <v>2161</v>
      </c>
      <c r="C469">
        <v>43</v>
      </c>
      <c r="D469" t="s">
        <v>1336</v>
      </c>
      <c r="E469" t="s">
        <v>1602</v>
      </c>
      <c r="F469" t="s">
        <v>1400</v>
      </c>
      <c r="G469">
        <v>7580861293</v>
      </c>
    </row>
    <row r="470" spans="1:7" x14ac:dyDescent="0.3">
      <c r="A470" t="s">
        <v>2162</v>
      </c>
      <c r="B470" t="s">
        <v>2163</v>
      </c>
      <c r="C470">
        <v>49</v>
      </c>
      <c r="D470" t="s">
        <v>1328</v>
      </c>
      <c r="E470" t="s">
        <v>1347</v>
      </c>
      <c r="F470" t="s">
        <v>1348</v>
      </c>
      <c r="G470">
        <v>9851926265</v>
      </c>
    </row>
    <row r="471" spans="1:7" x14ac:dyDescent="0.3">
      <c r="A471" t="s">
        <v>1208</v>
      </c>
      <c r="B471" t="s">
        <v>2164</v>
      </c>
      <c r="C471">
        <v>61</v>
      </c>
      <c r="D471" t="s">
        <v>1328</v>
      </c>
      <c r="E471" t="s">
        <v>1556</v>
      </c>
      <c r="F471" t="s">
        <v>1333</v>
      </c>
      <c r="G471">
        <v>9560024472</v>
      </c>
    </row>
    <row r="472" spans="1:7" x14ac:dyDescent="0.3">
      <c r="A472" t="s">
        <v>2165</v>
      </c>
      <c r="B472" t="s">
        <v>2166</v>
      </c>
      <c r="C472">
        <v>30</v>
      </c>
      <c r="D472" t="s">
        <v>1328</v>
      </c>
      <c r="E472" t="s">
        <v>1594</v>
      </c>
      <c r="F472" t="s">
        <v>1445</v>
      </c>
      <c r="G472">
        <v>6542634496</v>
      </c>
    </row>
    <row r="473" spans="1:7" x14ac:dyDescent="0.3">
      <c r="A473" t="s">
        <v>2167</v>
      </c>
      <c r="B473" t="s">
        <v>2168</v>
      </c>
      <c r="C473">
        <v>28</v>
      </c>
      <c r="D473" t="s">
        <v>1328</v>
      </c>
      <c r="E473" t="s">
        <v>1466</v>
      </c>
      <c r="F473" t="s">
        <v>1338</v>
      </c>
      <c r="G473">
        <v>6966446080</v>
      </c>
    </row>
    <row r="474" spans="1:7" x14ac:dyDescent="0.3">
      <c r="A474" t="s">
        <v>2169</v>
      </c>
      <c r="B474" t="s">
        <v>2170</v>
      </c>
      <c r="C474">
        <v>18</v>
      </c>
      <c r="D474" t="s">
        <v>1328</v>
      </c>
      <c r="E474" t="s">
        <v>1341</v>
      </c>
      <c r="F474" t="s">
        <v>1342</v>
      </c>
      <c r="G474">
        <v>9160720963</v>
      </c>
    </row>
    <row r="475" spans="1:7" x14ac:dyDescent="0.3">
      <c r="A475" t="s">
        <v>2171</v>
      </c>
      <c r="B475" t="s">
        <v>2172</v>
      </c>
      <c r="C475">
        <v>59</v>
      </c>
      <c r="D475" t="s">
        <v>1336</v>
      </c>
      <c r="E475" t="s">
        <v>1563</v>
      </c>
      <c r="F475" t="s">
        <v>1356</v>
      </c>
      <c r="G475">
        <v>9524389033</v>
      </c>
    </row>
    <row r="476" spans="1:7" x14ac:dyDescent="0.3">
      <c r="A476" t="s">
        <v>2173</v>
      </c>
      <c r="B476" t="s">
        <v>2174</v>
      </c>
      <c r="C476">
        <v>40</v>
      </c>
      <c r="D476" t="s">
        <v>1336</v>
      </c>
      <c r="E476" t="s">
        <v>1591</v>
      </c>
      <c r="F476" t="s">
        <v>1352</v>
      </c>
      <c r="G476">
        <v>6726654655</v>
      </c>
    </row>
    <row r="477" spans="1:7" x14ac:dyDescent="0.3">
      <c r="A477" t="s">
        <v>2175</v>
      </c>
      <c r="B477" t="s">
        <v>2176</v>
      </c>
      <c r="C477">
        <v>30</v>
      </c>
      <c r="D477" t="s">
        <v>1336</v>
      </c>
      <c r="E477" t="s">
        <v>1668</v>
      </c>
      <c r="F477" t="s">
        <v>1445</v>
      </c>
      <c r="G477">
        <v>6006281075</v>
      </c>
    </row>
    <row r="478" spans="1:7" x14ac:dyDescent="0.3">
      <c r="A478" t="s">
        <v>982</v>
      </c>
      <c r="B478" t="s">
        <v>2177</v>
      </c>
      <c r="C478">
        <v>37</v>
      </c>
      <c r="D478" t="s">
        <v>1336</v>
      </c>
      <c r="E478" t="s">
        <v>1655</v>
      </c>
      <c r="F478" t="s">
        <v>1409</v>
      </c>
      <c r="G478">
        <v>6500864192</v>
      </c>
    </row>
    <row r="479" spans="1:7" x14ac:dyDescent="0.3">
      <c r="A479" t="s">
        <v>2178</v>
      </c>
      <c r="B479" t="s">
        <v>2179</v>
      </c>
      <c r="C479">
        <v>56</v>
      </c>
      <c r="D479" t="s">
        <v>1336</v>
      </c>
      <c r="E479" t="s">
        <v>1599</v>
      </c>
      <c r="F479" t="s">
        <v>1400</v>
      </c>
      <c r="G479">
        <v>8637145324</v>
      </c>
    </row>
    <row r="480" spans="1:7" x14ac:dyDescent="0.3">
      <c r="A480" t="s">
        <v>638</v>
      </c>
      <c r="B480" t="s">
        <v>2180</v>
      </c>
      <c r="C480">
        <v>21</v>
      </c>
      <c r="D480" t="s">
        <v>1328</v>
      </c>
      <c r="E480" t="s">
        <v>1498</v>
      </c>
      <c r="F480" t="s">
        <v>1362</v>
      </c>
      <c r="G480">
        <v>7808920329</v>
      </c>
    </row>
    <row r="481" spans="1:7" x14ac:dyDescent="0.3">
      <c r="A481" t="s">
        <v>2181</v>
      </c>
      <c r="B481" t="s">
        <v>2182</v>
      </c>
      <c r="C481">
        <v>34</v>
      </c>
      <c r="D481" t="s">
        <v>1336</v>
      </c>
      <c r="E481" t="s">
        <v>1347</v>
      </c>
      <c r="F481" t="s">
        <v>1348</v>
      </c>
      <c r="G481">
        <v>7543962459</v>
      </c>
    </row>
    <row r="482" spans="1:7" x14ac:dyDescent="0.3">
      <c r="A482" t="s">
        <v>2183</v>
      </c>
      <c r="B482" t="s">
        <v>2184</v>
      </c>
      <c r="C482">
        <v>22</v>
      </c>
      <c r="D482" t="s">
        <v>1336</v>
      </c>
      <c r="E482" t="s">
        <v>1381</v>
      </c>
      <c r="F482" t="s">
        <v>1352</v>
      </c>
      <c r="G482">
        <v>7906002188</v>
      </c>
    </row>
    <row r="483" spans="1:7" x14ac:dyDescent="0.3">
      <c r="A483" t="s">
        <v>2185</v>
      </c>
      <c r="B483" t="s">
        <v>2186</v>
      </c>
      <c r="C483">
        <v>50</v>
      </c>
      <c r="D483" t="s">
        <v>1336</v>
      </c>
      <c r="E483" t="s">
        <v>1381</v>
      </c>
      <c r="F483" t="s">
        <v>1352</v>
      </c>
      <c r="G483">
        <v>9448405335</v>
      </c>
    </row>
    <row r="484" spans="1:7" x14ac:dyDescent="0.3">
      <c r="A484" t="s">
        <v>430</v>
      </c>
      <c r="B484" t="s">
        <v>2187</v>
      </c>
      <c r="C484">
        <v>18</v>
      </c>
      <c r="D484" t="s">
        <v>1336</v>
      </c>
      <c r="E484" t="s">
        <v>1466</v>
      </c>
      <c r="F484" t="s">
        <v>1338</v>
      </c>
      <c r="G484">
        <v>8624219087</v>
      </c>
    </row>
    <row r="485" spans="1:7" x14ac:dyDescent="0.3">
      <c r="A485" t="s">
        <v>2188</v>
      </c>
      <c r="B485" t="s">
        <v>2189</v>
      </c>
      <c r="C485">
        <v>18</v>
      </c>
      <c r="D485" t="s">
        <v>1336</v>
      </c>
      <c r="E485" t="s">
        <v>1655</v>
      </c>
      <c r="F485" t="s">
        <v>1409</v>
      </c>
      <c r="G485">
        <v>9756730243</v>
      </c>
    </row>
    <row r="486" spans="1:7" x14ac:dyDescent="0.3">
      <c r="A486" t="s">
        <v>2190</v>
      </c>
      <c r="B486" t="s">
        <v>2191</v>
      </c>
      <c r="C486">
        <v>39</v>
      </c>
      <c r="D486" t="s">
        <v>1336</v>
      </c>
      <c r="E486" t="s">
        <v>1649</v>
      </c>
      <c r="F486" t="s">
        <v>1391</v>
      </c>
      <c r="G486">
        <v>7131995381</v>
      </c>
    </row>
    <row r="487" spans="1:7" x14ac:dyDescent="0.3">
      <c r="A487" t="s">
        <v>783</v>
      </c>
      <c r="B487" t="s">
        <v>2192</v>
      </c>
      <c r="C487">
        <v>31</v>
      </c>
      <c r="D487" t="s">
        <v>1336</v>
      </c>
      <c r="E487" t="s">
        <v>1501</v>
      </c>
      <c r="F487" t="s">
        <v>1394</v>
      </c>
      <c r="G487">
        <v>7231640048</v>
      </c>
    </row>
    <row r="488" spans="1:7" x14ac:dyDescent="0.3">
      <c r="A488" t="s">
        <v>2193</v>
      </c>
      <c r="B488" t="s">
        <v>2194</v>
      </c>
      <c r="C488">
        <v>30</v>
      </c>
      <c r="D488" t="s">
        <v>1328</v>
      </c>
      <c r="E488" t="s">
        <v>1397</v>
      </c>
      <c r="F488" t="s">
        <v>1333</v>
      </c>
      <c r="G488">
        <v>7088559099</v>
      </c>
    </row>
    <row r="489" spans="1:7" x14ac:dyDescent="0.3">
      <c r="A489" t="s">
        <v>2195</v>
      </c>
      <c r="B489" t="s">
        <v>2196</v>
      </c>
      <c r="C489">
        <v>23</v>
      </c>
      <c r="D489" t="s">
        <v>1328</v>
      </c>
      <c r="E489" t="s">
        <v>1637</v>
      </c>
      <c r="F489" t="s">
        <v>1368</v>
      </c>
      <c r="G489">
        <v>7049938613</v>
      </c>
    </row>
    <row r="490" spans="1:7" x14ac:dyDescent="0.3">
      <c r="A490" t="s">
        <v>2197</v>
      </c>
      <c r="B490" t="s">
        <v>2198</v>
      </c>
      <c r="C490">
        <v>38</v>
      </c>
      <c r="D490" t="s">
        <v>1336</v>
      </c>
      <c r="E490" t="s">
        <v>1504</v>
      </c>
      <c r="F490" t="s">
        <v>1394</v>
      </c>
      <c r="G490">
        <v>8916489227</v>
      </c>
    </row>
    <row r="491" spans="1:7" x14ac:dyDescent="0.3">
      <c r="A491" t="s">
        <v>2199</v>
      </c>
      <c r="B491" t="s">
        <v>2200</v>
      </c>
      <c r="C491">
        <v>40</v>
      </c>
      <c r="D491" t="s">
        <v>1336</v>
      </c>
      <c r="E491" t="s">
        <v>1511</v>
      </c>
      <c r="F491" t="s">
        <v>1419</v>
      </c>
      <c r="G491">
        <v>8184617191</v>
      </c>
    </row>
    <row r="492" spans="1:7" x14ac:dyDescent="0.3">
      <c r="A492" t="s">
        <v>2201</v>
      </c>
      <c r="B492" t="s">
        <v>2202</v>
      </c>
      <c r="C492">
        <v>46</v>
      </c>
      <c r="D492" t="s">
        <v>1336</v>
      </c>
      <c r="E492" t="s">
        <v>1832</v>
      </c>
      <c r="F492" t="s">
        <v>1368</v>
      </c>
      <c r="G492">
        <v>9507901751</v>
      </c>
    </row>
    <row r="493" spans="1:7" x14ac:dyDescent="0.3">
      <c r="A493" t="s">
        <v>2203</v>
      </c>
      <c r="B493" t="s">
        <v>2204</v>
      </c>
      <c r="C493">
        <v>51</v>
      </c>
      <c r="D493" t="s">
        <v>1328</v>
      </c>
      <c r="E493" t="s">
        <v>1361</v>
      </c>
      <c r="F493" t="s">
        <v>1362</v>
      </c>
      <c r="G493">
        <v>8265584565</v>
      </c>
    </row>
    <row r="494" spans="1:7" x14ac:dyDescent="0.3">
      <c r="A494" t="s">
        <v>2205</v>
      </c>
      <c r="B494" t="s">
        <v>2206</v>
      </c>
      <c r="C494">
        <v>58</v>
      </c>
      <c r="D494" t="s">
        <v>1336</v>
      </c>
      <c r="E494" t="s">
        <v>1845</v>
      </c>
      <c r="F494" t="s">
        <v>1330</v>
      </c>
      <c r="G494">
        <v>8060954304</v>
      </c>
    </row>
    <row r="495" spans="1:7" x14ac:dyDescent="0.3">
      <c r="A495" t="s">
        <v>721</v>
      </c>
      <c r="B495" t="s">
        <v>2207</v>
      </c>
      <c r="C495">
        <v>57</v>
      </c>
      <c r="D495" t="s">
        <v>1328</v>
      </c>
      <c r="E495" t="s">
        <v>1747</v>
      </c>
      <c r="F495" t="s">
        <v>1391</v>
      </c>
      <c r="G495">
        <v>7344975713</v>
      </c>
    </row>
    <row r="496" spans="1:7" x14ac:dyDescent="0.3">
      <c r="A496" t="s">
        <v>2208</v>
      </c>
      <c r="B496" t="s">
        <v>2209</v>
      </c>
      <c r="C496">
        <v>43</v>
      </c>
      <c r="D496" t="s">
        <v>1336</v>
      </c>
      <c r="E496" t="s">
        <v>1345</v>
      </c>
      <c r="F496" t="s">
        <v>1330</v>
      </c>
      <c r="G496">
        <v>9347353774</v>
      </c>
    </row>
    <row r="497" spans="1:7" x14ac:dyDescent="0.3">
      <c r="A497" t="s">
        <v>2210</v>
      </c>
      <c r="B497" t="s">
        <v>2211</v>
      </c>
      <c r="C497">
        <v>63</v>
      </c>
      <c r="D497" t="s">
        <v>1336</v>
      </c>
      <c r="E497" t="s">
        <v>1542</v>
      </c>
      <c r="F497" t="s">
        <v>1409</v>
      </c>
      <c r="G497">
        <v>9182456950</v>
      </c>
    </row>
    <row r="498" spans="1:7" x14ac:dyDescent="0.3">
      <c r="A498" t="s">
        <v>179</v>
      </c>
      <c r="B498" t="s">
        <v>2212</v>
      </c>
      <c r="C498">
        <v>30</v>
      </c>
      <c r="D498" t="s">
        <v>1328</v>
      </c>
      <c r="E498" t="s">
        <v>1377</v>
      </c>
      <c r="F498" t="s">
        <v>1368</v>
      </c>
      <c r="G498">
        <v>8111181832</v>
      </c>
    </row>
    <row r="499" spans="1:7" x14ac:dyDescent="0.3">
      <c r="A499" t="s">
        <v>1004</v>
      </c>
      <c r="B499" t="s">
        <v>2213</v>
      </c>
      <c r="C499">
        <v>64</v>
      </c>
      <c r="D499" t="s">
        <v>1336</v>
      </c>
      <c r="E499" t="s">
        <v>1425</v>
      </c>
      <c r="F499" t="s">
        <v>1409</v>
      </c>
      <c r="G499">
        <v>7793192533</v>
      </c>
    </row>
    <row r="500" spans="1:7" x14ac:dyDescent="0.3">
      <c r="A500" t="s">
        <v>1032</v>
      </c>
      <c r="B500" t="s">
        <v>2214</v>
      </c>
      <c r="C500">
        <v>42</v>
      </c>
      <c r="D500" t="s">
        <v>1328</v>
      </c>
      <c r="E500" t="s">
        <v>1456</v>
      </c>
      <c r="F500" t="s">
        <v>1394</v>
      </c>
      <c r="G500">
        <v>7512661613</v>
      </c>
    </row>
    <row r="501" spans="1:7" x14ac:dyDescent="0.3">
      <c r="A501" t="s">
        <v>2215</v>
      </c>
      <c r="B501" t="s">
        <v>2216</v>
      </c>
      <c r="C501">
        <v>53</v>
      </c>
      <c r="D501" t="s">
        <v>1328</v>
      </c>
      <c r="E501" t="s">
        <v>1438</v>
      </c>
      <c r="F501" t="s">
        <v>1419</v>
      </c>
      <c r="G501">
        <v>9571070919</v>
      </c>
    </row>
    <row r="502" spans="1:7" x14ac:dyDescent="0.3">
      <c r="A502" t="s">
        <v>466</v>
      </c>
      <c r="B502" t="s">
        <v>2217</v>
      </c>
      <c r="C502">
        <v>61</v>
      </c>
      <c r="D502" t="s">
        <v>1336</v>
      </c>
      <c r="E502" t="s">
        <v>1815</v>
      </c>
      <c r="F502" t="s">
        <v>1400</v>
      </c>
      <c r="G502">
        <v>8019651289</v>
      </c>
    </row>
    <row r="503" spans="1:7" x14ac:dyDescent="0.3">
      <c r="A503" t="s">
        <v>450</v>
      </c>
      <c r="B503" t="s">
        <v>2218</v>
      </c>
      <c r="C503">
        <v>58</v>
      </c>
      <c r="D503" t="s">
        <v>1336</v>
      </c>
      <c r="E503" t="s">
        <v>1542</v>
      </c>
      <c r="F503" t="s">
        <v>1409</v>
      </c>
      <c r="G503">
        <v>8537149211</v>
      </c>
    </row>
    <row r="504" spans="1:7" x14ac:dyDescent="0.3">
      <c r="A504" t="s">
        <v>2219</v>
      </c>
      <c r="B504" t="s">
        <v>2220</v>
      </c>
      <c r="C504">
        <v>61</v>
      </c>
      <c r="D504" t="s">
        <v>1328</v>
      </c>
      <c r="E504" t="s">
        <v>1649</v>
      </c>
      <c r="F504" t="s">
        <v>1391</v>
      </c>
      <c r="G504">
        <v>8665231330</v>
      </c>
    </row>
    <row r="505" spans="1:7" x14ac:dyDescent="0.3">
      <c r="A505" t="s">
        <v>2221</v>
      </c>
      <c r="B505" t="s">
        <v>2222</v>
      </c>
      <c r="C505">
        <v>24</v>
      </c>
      <c r="D505" t="s">
        <v>1328</v>
      </c>
      <c r="E505" t="s">
        <v>1371</v>
      </c>
      <c r="F505" t="s">
        <v>1342</v>
      </c>
      <c r="G505">
        <v>8522751407</v>
      </c>
    </row>
    <row r="506" spans="1:7" x14ac:dyDescent="0.3">
      <c r="A506" t="s">
        <v>60</v>
      </c>
      <c r="B506" t="s">
        <v>2223</v>
      </c>
      <c r="C506">
        <v>27</v>
      </c>
      <c r="D506" t="s">
        <v>1336</v>
      </c>
      <c r="E506" t="s">
        <v>1655</v>
      </c>
      <c r="F506" t="s">
        <v>1409</v>
      </c>
      <c r="G506">
        <v>6453267454</v>
      </c>
    </row>
    <row r="507" spans="1:7" x14ac:dyDescent="0.3">
      <c r="A507" t="s">
        <v>2224</v>
      </c>
      <c r="B507" t="s">
        <v>2225</v>
      </c>
      <c r="C507">
        <v>55</v>
      </c>
      <c r="D507" t="s">
        <v>1336</v>
      </c>
      <c r="E507" t="s">
        <v>1463</v>
      </c>
      <c r="F507" t="s">
        <v>1391</v>
      </c>
      <c r="G507">
        <v>8495628148</v>
      </c>
    </row>
    <row r="508" spans="1:7" x14ac:dyDescent="0.3">
      <c r="A508" t="s">
        <v>2226</v>
      </c>
      <c r="B508" t="s">
        <v>2227</v>
      </c>
      <c r="C508">
        <v>49</v>
      </c>
      <c r="D508" t="s">
        <v>1336</v>
      </c>
      <c r="E508" t="s">
        <v>1563</v>
      </c>
      <c r="F508" t="s">
        <v>1356</v>
      </c>
      <c r="G508">
        <v>8538774423</v>
      </c>
    </row>
    <row r="509" spans="1:7" x14ac:dyDescent="0.3">
      <c r="A509" t="s">
        <v>1290</v>
      </c>
      <c r="B509" t="s">
        <v>2228</v>
      </c>
      <c r="C509">
        <v>54</v>
      </c>
      <c r="D509" t="s">
        <v>1336</v>
      </c>
      <c r="E509" t="s">
        <v>1747</v>
      </c>
      <c r="F509" t="s">
        <v>1391</v>
      </c>
      <c r="G509">
        <v>8208640221</v>
      </c>
    </row>
    <row r="510" spans="1:7" x14ac:dyDescent="0.3">
      <c r="A510" t="s">
        <v>2229</v>
      </c>
      <c r="B510" t="s">
        <v>2230</v>
      </c>
      <c r="C510">
        <v>47</v>
      </c>
      <c r="D510" t="s">
        <v>1336</v>
      </c>
      <c r="E510" t="s">
        <v>1365</v>
      </c>
      <c r="F510" t="s">
        <v>1352</v>
      </c>
      <c r="G510">
        <v>9723057885</v>
      </c>
    </row>
    <row r="511" spans="1:7" x14ac:dyDescent="0.3">
      <c r="A511" t="s">
        <v>479</v>
      </c>
      <c r="B511" t="s">
        <v>2231</v>
      </c>
      <c r="C511">
        <v>27</v>
      </c>
      <c r="D511" t="s">
        <v>1336</v>
      </c>
      <c r="E511" t="s">
        <v>1832</v>
      </c>
      <c r="F511" t="s">
        <v>1368</v>
      </c>
      <c r="G511">
        <v>9355362172</v>
      </c>
    </row>
    <row r="512" spans="1:7" x14ac:dyDescent="0.3">
      <c r="A512" t="s">
        <v>2232</v>
      </c>
      <c r="B512" t="s">
        <v>2233</v>
      </c>
      <c r="C512">
        <v>65</v>
      </c>
      <c r="D512" t="s">
        <v>1328</v>
      </c>
      <c r="E512" t="s">
        <v>1501</v>
      </c>
      <c r="F512" t="s">
        <v>1394</v>
      </c>
      <c r="G512">
        <v>6113964252</v>
      </c>
    </row>
    <row r="513" spans="1:7" x14ac:dyDescent="0.3">
      <c r="A513" t="s">
        <v>195</v>
      </c>
      <c r="B513" t="s">
        <v>2234</v>
      </c>
      <c r="C513">
        <v>61</v>
      </c>
      <c r="D513" t="s">
        <v>1336</v>
      </c>
      <c r="E513" t="s">
        <v>1345</v>
      </c>
      <c r="F513" t="s">
        <v>1330</v>
      </c>
      <c r="G513">
        <v>8857633808</v>
      </c>
    </row>
    <row r="514" spans="1:7" x14ac:dyDescent="0.3">
      <c r="A514" t="s">
        <v>1150</v>
      </c>
      <c r="B514" t="s">
        <v>2235</v>
      </c>
      <c r="C514">
        <v>35</v>
      </c>
      <c r="D514" t="s">
        <v>1328</v>
      </c>
      <c r="E514" t="s">
        <v>1358</v>
      </c>
      <c r="F514" t="s">
        <v>1356</v>
      </c>
      <c r="G514">
        <v>7323261633</v>
      </c>
    </row>
    <row r="515" spans="1:7" x14ac:dyDescent="0.3">
      <c r="A515" t="s">
        <v>432</v>
      </c>
      <c r="B515" t="s">
        <v>2236</v>
      </c>
      <c r="C515">
        <v>27</v>
      </c>
      <c r="D515" t="s">
        <v>1336</v>
      </c>
      <c r="E515" t="s">
        <v>1329</v>
      </c>
      <c r="F515" t="s">
        <v>1330</v>
      </c>
      <c r="G515">
        <v>9051197521</v>
      </c>
    </row>
    <row r="516" spans="1:7" x14ac:dyDescent="0.3">
      <c r="A516" t="s">
        <v>2237</v>
      </c>
      <c r="B516" t="s">
        <v>2238</v>
      </c>
      <c r="C516">
        <v>47</v>
      </c>
      <c r="D516" t="s">
        <v>1328</v>
      </c>
      <c r="E516" t="s">
        <v>1403</v>
      </c>
      <c r="F516" t="s">
        <v>1362</v>
      </c>
      <c r="G516">
        <v>6330079846</v>
      </c>
    </row>
    <row r="517" spans="1:7" x14ac:dyDescent="0.3">
      <c r="A517" t="s">
        <v>2239</v>
      </c>
      <c r="B517" t="s">
        <v>2240</v>
      </c>
      <c r="C517">
        <v>36</v>
      </c>
      <c r="D517" t="s">
        <v>1336</v>
      </c>
      <c r="E517" t="s">
        <v>1383</v>
      </c>
      <c r="F517" t="s">
        <v>1338</v>
      </c>
      <c r="G517">
        <v>9455796677</v>
      </c>
    </row>
    <row r="518" spans="1:7" x14ac:dyDescent="0.3">
      <c r="A518" t="s">
        <v>2241</v>
      </c>
      <c r="B518" t="s">
        <v>2242</v>
      </c>
      <c r="C518">
        <v>37</v>
      </c>
      <c r="D518" t="s">
        <v>1328</v>
      </c>
      <c r="E518" t="s">
        <v>1483</v>
      </c>
      <c r="F518" t="s">
        <v>1368</v>
      </c>
      <c r="G518">
        <v>8912620883</v>
      </c>
    </row>
    <row r="519" spans="1:7" x14ac:dyDescent="0.3">
      <c r="A519" t="s">
        <v>2243</v>
      </c>
      <c r="B519" t="s">
        <v>2244</v>
      </c>
      <c r="C519">
        <v>37</v>
      </c>
      <c r="D519" t="s">
        <v>1328</v>
      </c>
      <c r="E519" t="s">
        <v>1599</v>
      </c>
      <c r="F519" t="s">
        <v>1400</v>
      </c>
      <c r="G519">
        <v>7618125513</v>
      </c>
    </row>
    <row r="520" spans="1:7" x14ac:dyDescent="0.3">
      <c r="A520" t="s">
        <v>2245</v>
      </c>
      <c r="B520" t="s">
        <v>2246</v>
      </c>
      <c r="C520">
        <v>22</v>
      </c>
      <c r="D520" t="s">
        <v>1336</v>
      </c>
      <c r="E520" t="s">
        <v>1383</v>
      </c>
      <c r="F520" t="s">
        <v>1338</v>
      </c>
      <c r="G520">
        <v>8081913548</v>
      </c>
    </row>
    <row r="521" spans="1:7" x14ac:dyDescent="0.3">
      <c r="A521" t="s">
        <v>2247</v>
      </c>
      <c r="B521" t="s">
        <v>2248</v>
      </c>
      <c r="C521">
        <v>24</v>
      </c>
      <c r="D521" t="s">
        <v>1336</v>
      </c>
      <c r="E521" t="s">
        <v>1374</v>
      </c>
      <c r="F521" t="s">
        <v>1348</v>
      </c>
      <c r="G521">
        <v>8230987509</v>
      </c>
    </row>
    <row r="522" spans="1:7" x14ac:dyDescent="0.3">
      <c r="A522" t="s">
        <v>2249</v>
      </c>
      <c r="B522" t="s">
        <v>2250</v>
      </c>
      <c r="C522">
        <v>54</v>
      </c>
      <c r="D522" t="s">
        <v>1336</v>
      </c>
      <c r="E522" t="s">
        <v>1386</v>
      </c>
      <c r="F522" t="s">
        <v>1338</v>
      </c>
      <c r="G522">
        <v>9319437308</v>
      </c>
    </row>
    <row r="523" spans="1:7" x14ac:dyDescent="0.3">
      <c r="A523" t="s">
        <v>733</v>
      </c>
      <c r="B523" t="s">
        <v>2251</v>
      </c>
      <c r="C523">
        <v>25</v>
      </c>
      <c r="D523" t="s">
        <v>1336</v>
      </c>
      <c r="E523" t="s">
        <v>1815</v>
      </c>
      <c r="F523" t="s">
        <v>1400</v>
      </c>
      <c r="G523">
        <v>9910340867</v>
      </c>
    </row>
    <row r="524" spans="1:7" x14ac:dyDescent="0.3">
      <c r="A524" t="s">
        <v>2252</v>
      </c>
      <c r="B524" t="s">
        <v>2253</v>
      </c>
      <c r="C524">
        <v>36</v>
      </c>
      <c r="D524" t="s">
        <v>1336</v>
      </c>
      <c r="E524" t="s">
        <v>1345</v>
      </c>
      <c r="F524" t="s">
        <v>1330</v>
      </c>
      <c r="G524">
        <v>6658923536</v>
      </c>
    </row>
    <row r="525" spans="1:7" x14ac:dyDescent="0.3">
      <c r="A525" t="s">
        <v>523</v>
      </c>
      <c r="B525" t="s">
        <v>2254</v>
      </c>
      <c r="C525">
        <v>18</v>
      </c>
      <c r="D525" t="s">
        <v>1328</v>
      </c>
      <c r="E525" t="s">
        <v>1374</v>
      </c>
      <c r="F525" t="s">
        <v>1348</v>
      </c>
      <c r="G525">
        <v>8496035140</v>
      </c>
    </row>
    <row r="526" spans="1:7" x14ac:dyDescent="0.3">
      <c r="A526" t="s">
        <v>666</v>
      </c>
      <c r="B526" t="s">
        <v>2255</v>
      </c>
      <c r="C526">
        <v>57</v>
      </c>
      <c r="D526" t="s">
        <v>1336</v>
      </c>
      <c r="E526" t="s">
        <v>1361</v>
      </c>
      <c r="F526" t="s">
        <v>1362</v>
      </c>
      <c r="G526">
        <v>7700859069</v>
      </c>
    </row>
    <row r="527" spans="1:7" x14ac:dyDescent="0.3">
      <c r="A527" t="s">
        <v>2256</v>
      </c>
      <c r="B527" t="s">
        <v>2257</v>
      </c>
      <c r="C527">
        <v>18</v>
      </c>
      <c r="D527" t="s">
        <v>1336</v>
      </c>
      <c r="E527" t="s">
        <v>1770</v>
      </c>
      <c r="F527" t="s">
        <v>1400</v>
      </c>
      <c r="G527">
        <v>6397320821</v>
      </c>
    </row>
    <row r="528" spans="1:7" x14ac:dyDescent="0.3">
      <c r="A528" t="s">
        <v>2258</v>
      </c>
      <c r="B528" t="s">
        <v>2259</v>
      </c>
      <c r="C528">
        <v>45</v>
      </c>
      <c r="D528" t="s">
        <v>1328</v>
      </c>
      <c r="E528" t="s">
        <v>1563</v>
      </c>
      <c r="F528" t="s">
        <v>1356</v>
      </c>
      <c r="G528">
        <v>6078608439</v>
      </c>
    </row>
    <row r="529" spans="1:7" x14ac:dyDescent="0.3">
      <c r="A529" t="s">
        <v>2260</v>
      </c>
      <c r="B529" t="s">
        <v>2261</v>
      </c>
      <c r="C529">
        <v>34</v>
      </c>
      <c r="D529" t="s">
        <v>1328</v>
      </c>
      <c r="E529" t="s">
        <v>1498</v>
      </c>
      <c r="F529" t="s">
        <v>1362</v>
      </c>
      <c r="G529">
        <v>7829043095</v>
      </c>
    </row>
    <row r="530" spans="1:7" x14ac:dyDescent="0.3">
      <c r="A530" t="s">
        <v>2262</v>
      </c>
      <c r="B530" t="s">
        <v>2263</v>
      </c>
      <c r="C530">
        <v>29</v>
      </c>
      <c r="D530" t="s">
        <v>1328</v>
      </c>
      <c r="E530" t="s">
        <v>1383</v>
      </c>
      <c r="F530" t="s">
        <v>1338</v>
      </c>
      <c r="G530">
        <v>7431133846</v>
      </c>
    </row>
    <row r="531" spans="1:7" x14ac:dyDescent="0.3">
      <c r="A531" t="s">
        <v>2264</v>
      </c>
      <c r="B531" t="s">
        <v>2265</v>
      </c>
      <c r="C531">
        <v>61</v>
      </c>
      <c r="D531" t="s">
        <v>1336</v>
      </c>
      <c r="E531" t="s">
        <v>1411</v>
      </c>
      <c r="F531" t="s">
        <v>1356</v>
      </c>
      <c r="G531">
        <v>8343140976</v>
      </c>
    </row>
    <row r="532" spans="1:7" x14ac:dyDescent="0.3">
      <c r="A532" t="s">
        <v>2266</v>
      </c>
      <c r="B532" t="s">
        <v>2267</v>
      </c>
      <c r="C532">
        <v>20</v>
      </c>
      <c r="D532" t="s">
        <v>1336</v>
      </c>
      <c r="E532" t="s">
        <v>1542</v>
      </c>
      <c r="F532" t="s">
        <v>1409</v>
      </c>
      <c r="G532">
        <v>7335136728</v>
      </c>
    </row>
    <row r="533" spans="1:7" x14ac:dyDescent="0.3">
      <c r="A533" t="s">
        <v>2268</v>
      </c>
      <c r="B533" t="s">
        <v>2269</v>
      </c>
      <c r="C533">
        <v>34</v>
      </c>
      <c r="D533" t="s">
        <v>1328</v>
      </c>
      <c r="E533" t="s">
        <v>1556</v>
      </c>
      <c r="F533" t="s">
        <v>1333</v>
      </c>
      <c r="G533">
        <v>9974602113</v>
      </c>
    </row>
    <row r="534" spans="1:7" x14ac:dyDescent="0.3">
      <c r="A534" t="s">
        <v>304</v>
      </c>
      <c r="B534" t="s">
        <v>2270</v>
      </c>
      <c r="C534">
        <v>61</v>
      </c>
      <c r="D534" t="s">
        <v>1328</v>
      </c>
      <c r="E534" t="s">
        <v>1556</v>
      </c>
      <c r="F534" t="s">
        <v>1333</v>
      </c>
      <c r="G534">
        <v>9488233120</v>
      </c>
    </row>
    <row r="535" spans="1:7" x14ac:dyDescent="0.3">
      <c r="A535" t="s">
        <v>2271</v>
      </c>
      <c r="B535" t="s">
        <v>2272</v>
      </c>
      <c r="C535">
        <v>19</v>
      </c>
      <c r="D535" t="s">
        <v>1336</v>
      </c>
      <c r="E535" t="s">
        <v>1517</v>
      </c>
      <c r="F535" t="s">
        <v>1362</v>
      </c>
      <c r="G535">
        <v>6975867719</v>
      </c>
    </row>
    <row r="536" spans="1:7" x14ac:dyDescent="0.3">
      <c r="A536" t="s">
        <v>654</v>
      </c>
      <c r="B536" t="s">
        <v>2273</v>
      </c>
      <c r="C536">
        <v>46</v>
      </c>
      <c r="D536" t="s">
        <v>1328</v>
      </c>
      <c r="E536" t="s">
        <v>1466</v>
      </c>
      <c r="F536" t="s">
        <v>1338</v>
      </c>
      <c r="G536">
        <v>8553926618</v>
      </c>
    </row>
    <row r="537" spans="1:7" x14ac:dyDescent="0.3">
      <c r="A537" t="s">
        <v>648</v>
      </c>
      <c r="B537" t="s">
        <v>2274</v>
      </c>
      <c r="C537">
        <v>23</v>
      </c>
      <c r="D537" t="s">
        <v>1328</v>
      </c>
      <c r="E537" t="s">
        <v>1432</v>
      </c>
      <c r="F537" t="s">
        <v>1342</v>
      </c>
      <c r="G537">
        <v>7790419452</v>
      </c>
    </row>
    <row r="538" spans="1:7" x14ac:dyDescent="0.3">
      <c r="A538" t="s">
        <v>2275</v>
      </c>
      <c r="B538" t="s">
        <v>2276</v>
      </c>
      <c r="C538">
        <v>52</v>
      </c>
      <c r="D538" t="s">
        <v>1328</v>
      </c>
      <c r="E538" t="s">
        <v>1444</v>
      </c>
      <c r="F538" t="s">
        <v>1445</v>
      </c>
      <c r="G538">
        <v>8579461929</v>
      </c>
    </row>
    <row r="539" spans="1:7" x14ac:dyDescent="0.3">
      <c r="A539" t="s">
        <v>2277</v>
      </c>
      <c r="B539" t="s">
        <v>2278</v>
      </c>
      <c r="C539">
        <v>37</v>
      </c>
      <c r="D539" t="s">
        <v>1336</v>
      </c>
      <c r="E539" t="s">
        <v>1747</v>
      </c>
      <c r="F539" t="s">
        <v>1391</v>
      </c>
      <c r="G539">
        <v>8503475254</v>
      </c>
    </row>
    <row r="540" spans="1:7" x14ac:dyDescent="0.3">
      <c r="A540" t="s">
        <v>2279</v>
      </c>
      <c r="B540" t="s">
        <v>2280</v>
      </c>
      <c r="C540">
        <v>36</v>
      </c>
      <c r="D540" t="s">
        <v>1336</v>
      </c>
      <c r="E540" t="s">
        <v>1345</v>
      </c>
      <c r="F540" t="s">
        <v>1330</v>
      </c>
      <c r="G540">
        <v>6668918051</v>
      </c>
    </row>
    <row r="541" spans="1:7" x14ac:dyDescent="0.3">
      <c r="A541" t="s">
        <v>2281</v>
      </c>
      <c r="B541" t="s">
        <v>2282</v>
      </c>
      <c r="C541">
        <v>30</v>
      </c>
      <c r="D541" t="s">
        <v>1328</v>
      </c>
      <c r="E541" t="s">
        <v>1478</v>
      </c>
      <c r="F541" t="s">
        <v>1391</v>
      </c>
      <c r="G541">
        <v>8668744518</v>
      </c>
    </row>
    <row r="542" spans="1:7" x14ac:dyDescent="0.3">
      <c r="A542" t="s">
        <v>2283</v>
      </c>
      <c r="B542" t="s">
        <v>2284</v>
      </c>
      <c r="C542">
        <v>35</v>
      </c>
      <c r="D542" t="s">
        <v>1336</v>
      </c>
      <c r="E542" t="s">
        <v>1381</v>
      </c>
      <c r="F542" t="s">
        <v>1352</v>
      </c>
      <c r="G542">
        <v>8126436853</v>
      </c>
    </row>
    <row r="543" spans="1:7" x14ac:dyDescent="0.3">
      <c r="A543" t="s">
        <v>2285</v>
      </c>
      <c r="B543" t="s">
        <v>2286</v>
      </c>
      <c r="C543">
        <v>45</v>
      </c>
      <c r="D543" t="s">
        <v>1328</v>
      </c>
      <c r="E543" t="s">
        <v>1845</v>
      </c>
      <c r="F543" t="s">
        <v>1330</v>
      </c>
      <c r="G543">
        <v>9020517647</v>
      </c>
    </row>
    <row r="544" spans="1:7" x14ac:dyDescent="0.3">
      <c r="A544" t="s">
        <v>2287</v>
      </c>
      <c r="B544" t="s">
        <v>2288</v>
      </c>
      <c r="C544">
        <v>43</v>
      </c>
      <c r="D544" t="s">
        <v>1328</v>
      </c>
      <c r="E544" t="s">
        <v>1461</v>
      </c>
      <c r="F544" t="s">
        <v>1445</v>
      </c>
      <c r="G544">
        <v>8160511740</v>
      </c>
    </row>
    <row r="545" spans="1:7" x14ac:dyDescent="0.3">
      <c r="A545" t="s">
        <v>2289</v>
      </c>
      <c r="B545" t="s">
        <v>2290</v>
      </c>
      <c r="C545">
        <v>23</v>
      </c>
      <c r="D545" t="s">
        <v>1328</v>
      </c>
      <c r="E545" t="s">
        <v>1713</v>
      </c>
      <c r="F545" t="s">
        <v>1409</v>
      </c>
      <c r="G545">
        <v>7149400570</v>
      </c>
    </row>
    <row r="546" spans="1:7" x14ac:dyDescent="0.3">
      <c r="A546" t="s">
        <v>2291</v>
      </c>
      <c r="B546" t="s">
        <v>2292</v>
      </c>
      <c r="C546">
        <v>48</v>
      </c>
      <c r="D546" t="s">
        <v>1328</v>
      </c>
      <c r="E546" t="s">
        <v>1393</v>
      </c>
      <c r="F546" t="s">
        <v>1394</v>
      </c>
      <c r="G546">
        <v>7810660333</v>
      </c>
    </row>
    <row r="547" spans="1:7" x14ac:dyDescent="0.3">
      <c r="A547" t="s">
        <v>2293</v>
      </c>
      <c r="B547" t="s">
        <v>2294</v>
      </c>
      <c r="C547">
        <v>64</v>
      </c>
      <c r="D547" t="s">
        <v>1328</v>
      </c>
      <c r="E547" t="s">
        <v>1397</v>
      </c>
      <c r="F547" t="s">
        <v>1333</v>
      </c>
      <c r="G547">
        <v>8934750673</v>
      </c>
    </row>
    <row r="548" spans="1:7" x14ac:dyDescent="0.3">
      <c r="A548" t="s">
        <v>863</v>
      </c>
      <c r="B548" t="s">
        <v>2295</v>
      </c>
      <c r="C548">
        <v>33</v>
      </c>
      <c r="D548" t="s">
        <v>1336</v>
      </c>
      <c r="E548" t="s">
        <v>1770</v>
      </c>
      <c r="F548" t="s">
        <v>1400</v>
      </c>
      <c r="G548">
        <v>8774275517</v>
      </c>
    </row>
    <row r="549" spans="1:7" x14ac:dyDescent="0.3">
      <c r="A549" t="s">
        <v>2296</v>
      </c>
      <c r="B549" t="s">
        <v>2297</v>
      </c>
      <c r="C549">
        <v>51</v>
      </c>
      <c r="D549" t="s">
        <v>1336</v>
      </c>
      <c r="E549" t="s">
        <v>1556</v>
      </c>
      <c r="F549" t="s">
        <v>1333</v>
      </c>
      <c r="G549">
        <v>8233582866</v>
      </c>
    </row>
    <row r="550" spans="1:7" x14ac:dyDescent="0.3">
      <c r="A550" t="s">
        <v>2298</v>
      </c>
      <c r="B550" t="s">
        <v>2299</v>
      </c>
      <c r="C550">
        <v>54</v>
      </c>
      <c r="D550" t="s">
        <v>1328</v>
      </c>
      <c r="E550" t="s">
        <v>1475</v>
      </c>
      <c r="F550" t="s">
        <v>1419</v>
      </c>
      <c r="G550">
        <v>9454068248</v>
      </c>
    </row>
    <row r="551" spans="1:7" x14ac:dyDescent="0.3">
      <c r="A551" t="s">
        <v>2300</v>
      </c>
      <c r="B551" t="s">
        <v>2301</v>
      </c>
      <c r="C551">
        <v>57</v>
      </c>
      <c r="D551" t="s">
        <v>1328</v>
      </c>
      <c r="E551" t="s">
        <v>1655</v>
      </c>
      <c r="F551" t="s">
        <v>1409</v>
      </c>
      <c r="G551">
        <v>8468393664</v>
      </c>
    </row>
    <row r="552" spans="1:7" x14ac:dyDescent="0.3">
      <c r="A552" t="s">
        <v>2302</v>
      </c>
      <c r="B552" t="s">
        <v>2303</v>
      </c>
      <c r="C552">
        <v>38</v>
      </c>
      <c r="D552" t="s">
        <v>1336</v>
      </c>
      <c r="E552" t="s">
        <v>1337</v>
      </c>
      <c r="F552" t="s">
        <v>1338</v>
      </c>
      <c r="G552">
        <v>9015729383</v>
      </c>
    </row>
    <row r="553" spans="1:7" x14ac:dyDescent="0.3">
      <c r="A553" t="s">
        <v>636</v>
      </c>
      <c r="B553" t="s">
        <v>2304</v>
      </c>
      <c r="C553">
        <v>39</v>
      </c>
      <c r="D553" t="s">
        <v>1328</v>
      </c>
      <c r="E553" t="s">
        <v>1329</v>
      </c>
      <c r="F553" t="s">
        <v>1330</v>
      </c>
      <c r="G553">
        <v>9990091665</v>
      </c>
    </row>
    <row r="554" spans="1:7" x14ac:dyDescent="0.3">
      <c r="A554" t="s">
        <v>2305</v>
      </c>
      <c r="B554" t="s">
        <v>2306</v>
      </c>
      <c r="C554">
        <v>30</v>
      </c>
      <c r="D554" t="s">
        <v>1328</v>
      </c>
      <c r="E554" t="s">
        <v>1383</v>
      </c>
      <c r="F554" t="s">
        <v>1338</v>
      </c>
      <c r="G554">
        <v>8785808809</v>
      </c>
    </row>
    <row r="555" spans="1:7" x14ac:dyDescent="0.3">
      <c r="A555" t="s">
        <v>2307</v>
      </c>
      <c r="B555" t="s">
        <v>2308</v>
      </c>
      <c r="C555">
        <v>49</v>
      </c>
      <c r="D555" t="s">
        <v>1328</v>
      </c>
      <c r="E555" t="s">
        <v>1341</v>
      </c>
      <c r="F555" t="s">
        <v>1342</v>
      </c>
      <c r="G555">
        <v>9788692302</v>
      </c>
    </row>
    <row r="556" spans="1:7" x14ac:dyDescent="0.3">
      <c r="A556" t="s">
        <v>823</v>
      </c>
      <c r="B556" t="s">
        <v>2309</v>
      </c>
      <c r="C556">
        <v>27</v>
      </c>
      <c r="D556" t="s">
        <v>1336</v>
      </c>
      <c r="E556" t="s">
        <v>1411</v>
      </c>
      <c r="F556" t="s">
        <v>1356</v>
      </c>
      <c r="G556">
        <v>7633181157</v>
      </c>
    </row>
    <row r="557" spans="1:7" x14ac:dyDescent="0.3">
      <c r="A557" t="s">
        <v>2310</v>
      </c>
      <c r="B557" t="s">
        <v>2311</v>
      </c>
      <c r="C557">
        <v>34</v>
      </c>
      <c r="D557" t="s">
        <v>1328</v>
      </c>
      <c r="E557" t="s">
        <v>1351</v>
      </c>
      <c r="F557" t="s">
        <v>1352</v>
      </c>
      <c r="G557">
        <v>8965998120</v>
      </c>
    </row>
    <row r="558" spans="1:7" x14ac:dyDescent="0.3">
      <c r="A558" t="s">
        <v>2312</v>
      </c>
      <c r="B558" t="s">
        <v>2313</v>
      </c>
      <c r="C558">
        <v>58</v>
      </c>
      <c r="D558" t="s">
        <v>1328</v>
      </c>
      <c r="E558" t="s">
        <v>1483</v>
      </c>
      <c r="F558" t="s">
        <v>1368</v>
      </c>
      <c r="G558">
        <v>7954464912</v>
      </c>
    </row>
    <row r="559" spans="1:7" x14ac:dyDescent="0.3">
      <c r="A559" t="s">
        <v>1240</v>
      </c>
      <c r="B559" t="s">
        <v>2314</v>
      </c>
      <c r="C559">
        <v>58</v>
      </c>
      <c r="D559" t="s">
        <v>1328</v>
      </c>
      <c r="E559" t="s">
        <v>1463</v>
      </c>
      <c r="F559" t="s">
        <v>1391</v>
      </c>
      <c r="G559">
        <v>7718028855</v>
      </c>
    </row>
    <row r="560" spans="1:7" x14ac:dyDescent="0.3">
      <c r="A560" t="s">
        <v>1192</v>
      </c>
      <c r="B560" t="s">
        <v>2315</v>
      </c>
      <c r="C560">
        <v>21</v>
      </c>
      <c r="D560" t="s">
        <v>1336</v>
      </c>
      <c r="E560" t="s">
        <v>1456</v>
      </c>
      <c r="F560" t="s">
        <v>1394</v>
      </c>
      <c r="G560">
        <v>7407736409</v>
      </c>
    </row>
    <row r="561" spans="1:7" x14ac:dyDescent="0.3">
      <c r="A561" t="s">
        <v>2316</v>
      </c>
      <c r="B561" t="s">
        <v>2317</v>
      </c>
      <c r="C561">
        <v>40</v>
      </c>
      <c r="D561" t="s">
        <v>1336</v>
      </c>
      <c r="E561" t="s">
        <v>1347</v>
      </c>
      <c r="F561" t="s">
        <v>1348</v>
      </c>
      <c r="G561">
        <v>7206737656</v>
      </c>
    </row>
    <row r="562" spans="1:7" x14ac:dyDescent="0.3">
      <c r="A562" t="s">
        <v>2318</v>
      </c>
      <c r="B562" t="s">
        <v>2319</v>
      </c>
      <c r="C562">
        <v>31</v>
      </c>
      <c r="D562" t="s">
        <v>1336</v>
      </c>
      <c r="E562" t="s">
        <v>1504</v>
      </c>
      <c r="F562" t="s">
        <v>1394</v>
      </c>
      <c r="G562">
        <v>9277536905</v>
      </c>
    </row>
    <row r="563" spans="1:7" x14ac:dyDescent="0.3">
      <c r="A563" t="s">
        <v>2320</v>
      </c>
      <c r="B563" t="s">
        <v>2321</v>
      </c>
      <c r="C563">
        <v>64</v>
      </c>
      <c r="D563" t="s">
        <v>1336</v>
      </c>
      <c r="E563" t="s">
        <v>1388</v>
      </c>
      <c r="F563" t="s">
        <v>1342</v>
      </c>
      <c r="G563">
        <v>6300381941</v>
      </c>
    </row>
    <row r="564" spans="1:7" x14ac:dyDescent="0.3">
      <c r="A564" t="s">
        <v>260</v>
      </c>
      <c r="B564" t="s">
        <v>2322</v>
      </c>
      <c r="C564">
        <v>62</v>
      </c>
      <c r="D564" t="s">
        <v>1328</v>
      </c>
      <c r="E564" t="s">
        <v>1713</v>
      </c>
      <c r="F564" t="s">
        <v>1409</v>
      </c>
      <c r="G564">
        <v>7540105986</v>
      </c>
    </row>
    <row r="565" spans="1:7" x14ac:dyDescent="0.3">
      <c r="A565" t="s">
        <v>2323</v>
      </c>
      <c r="B565" t="s">
        <v>2324</v>
      </c>
      <c r="C565">
        <v>38</v>
      </c>
      <c r="D565" t="s">
        <v>1336</v>
      </c>
      <c r="E565" t="s">
        <v>1556</v>
      </c>
      <c r="F565" t="s">
        <v>1333</v>
      </c>
      <c r="G565">
        <v>7157082030</v>
      </c>
    </row>
    <row r="566" spans="1:7" x14ac:dyDescent="0.3">
      <c r="A566" t="s">
        <v>2325</v>
      </c>
      <c r="B566" t="s">
        <v>2326</v>
      </c>
      <c r="C566">
        <v>21</v>
      </c>
      <c r="D566" t="s">
        <v>1336</v>
      </c>
      <c r="E566" t="s">
        <v>1456</v>
      </c>
      <c r="F566" t="s">
        <v>1394</v>
      </c>
      <c r="G566">
        <v>7778654082</v>
      </c>
    </row>
    <row r="567" spans="1:7" x14ac:dyDescent="0.3">
      <c r="A567" t="s">
        <v>2327</v>
      </c>
      <c r="B567" t="s">
        <v>2328</v>
      </c>
      <c r="C567">
        <v>65</v>
      </c>
      <c r="D567" t="s">
        <v>1328</v>
      </c>
      <c r="E567" t="s">
        <v>1425</v>
      </c>
      <c r="F567" t="s">
        <v>1409</v>
      </c>
      <c r="G567">
        <v>7191491105</v>
      </c>
    </row>
    <row r="568" spans="1:7" x14ac:dyDescent="0.3">
      <c r="A568" t="s">
        <v>2329</v>
      </c>
      <c r="B568" t="s">
        <v>2330</v>
      </c>
      <c r="C568">
        <v>22</v>
      </c>
      <c r="D568" t="s">
        <v>1336</v>
      </c>
      <c r="E568" t="s">
        <v>1451</v>
      </c>
      <c r="F568" t="s">
        <v>1445</v>
      </c>
      <c r="G568">
        <v>7761104647</v>
      </c>
    </row>
    <row r="569" spans="1:7" x14ac:dyDescent="0.3">
      <c r="A569" t="s">
        <v>2331</v>
      </c>
      <c r="B569" t="s">
        <v>2332</v>
      </c>
      <c r="C569">
        <v>47</v>
      </c>
      <c r="D569" t="s">
        <v>1336</v>
      </c>
      <c r="E569" t="s">
        <v>1390</v>
      </c>
      <c r="F569" t="s">
        <v>1391</v>
      </c>
      <c r="G569">
        <v>9126485939</v>
      </c>
    </row>
    <row r="570" spans="1:7" x14ac:dyDescent="0.3">
      <c r="A570" t="s">
        <v>2333</v>
      </c>
      <c r="B570" t="s">
        <v>2334</v>
      </c>
      <c r="C570">
        <v>47</v>
      </c>
      <c r="D570" t="s">
        <v>1336</v>
      </c>
      <c r="E570" t="s">
        <v>1568</v>
      </c>
      <c r="F570" t="s">
        <v>1445</v>
      </c>
      <c r="G570">
        <v>7332625209</v>
      </c>
    </row>
    <row r="571" spans="1:7" x14ac:dyDescent="0.3">
      <c r="A571" t="s">
        <v>2335</v>
      </c>
      <c r="B571" t="s">
        <v>2336</v>
      </c>
      <c r="C571">
        <v>53</v>
      </c>
      <c r="D571" t="s">
        <v>1328</v>
      </c>
      <c r="E571" t="s">
        <v>1451</v>
      </c>
      <c r="F571" t="s">
        <v>1445</v>
      </c>
      <c r="G571">
        <v>9302073859</v>
      </c>
    </row>
    <row r="572" spans="1:7" x14ac:dyDescent="0.3">
      <c r="A572" t="s">
        <v>2337</v>
      </c>
      <c r="B572" t="s">
        <v>2338</v>
      </c>
      <c r="C572">
        <v>40</v>
      </c>
      <c r="D572" t="s">
        <v>1328</v>
      </c>
      <c r="E572" t="s">
        <v>1498</v>
      </c>
      <c r="F572" t="s">
        <v>1362</v>
      </c>
      <c r="G572">
        <v>7111482665</v>
      </c>
    </row>
    <row r="573" spans="1:7" x14ac:dyDescent="0.3">
      <c r="A573" t="s">
        <v>2339</v>
      </c>
      <c r="B573" t="s">
        <v>2340</v>
      </c>
      <c r="C573">
        <v>45</v>
      </c>
      <c r="D573" t="s">
        <v>1336</v>
      </c>
      <c r="E573" t="s">
        <v>1381</v>
      </c>
      <c r="F573" t="s">
        <v>1352</v>
      </c>
      <c r="G573">
        <v>7213664187</v>
      </c>
    </row>
    <row r="574" spans="1:7" x14ac:dyDescent="0.3">
      <c r="A574" t="s">
        <v>2341</v>
      </c>
      <c r="B574" t="s">
        <v>2342</v>
      </c>
      <c r="C574">
        <v>33</v>
      </c>
      <c r="D574" t="s">
        <v>1328</v>
      </c>
      <c r="E574" t="s">
        <v>1367</v>
      </c>
      <c r="F574" t="s">
        <v>1368</v>
      </c>
      <c r="G574">
        <v>6731371234</v>
      </c>
    </row>
    <row r="575" spans="1:7" x14ac:dyDescent="0.3">
      <c r="A575" t="s">
        <v>2343</v>
      </c>
      <c r="B575" t="s">
        <v>2344</v>
      </c>
      <c r="C575">
        <v>50</v>
      </c>
      <c r="D575" t="s">
        <v>1336</v>
      </c>
      <c r="E575" t="s">
        <v>1432</v>
      </c>
      <c r="F575" t="s">
        <v>1342</v>
      </c>
      <c r="G575">
        <v>8234245225</v>
      </c>
    </row>
    <row r="576" spans="1:7" x14ac:dyDescent="0.3">
      <c r="A576" t="s">
        <v>2345</v>
      </c>
      <c r="B576" t="s">
        <v>2346</v>
      </c>
      <c r="C576">
        <v>31</v>
      </c>
      <c r="D576" t="s">
        <v>1328</v>
      </c>
      <c r="E576" t="s">
        <v>1341</v>
      </c>
      <c r="F576" t="s">
        <v>1342</v>
      </c>
      <c r="G576">
        <v>7659842581</v>
      </c>
    </row>
    <row r="577" spans="1:7" x14ac:dyDescent="0.3">
      <c r="A577" t="s">
        <v>2347</v>
      </c>
      <c r="B577" t="s">
        <v>2348</v>
      </c>
      <c r="C577">
        <v>45</v>
      </c>
      <c r="D577" t="s">
        <v>1328</v>
      </c>
      <c r="E577" t="s">
        <v>1517</v>
      </c>
      <c r="F577" t="s">
        <v>1362</v>
      </c>
      <c r="G577">
        <v>7592681118</v>
      </c>
    </row>
    <row r="578" spans="1:7" x14ac:dyDescent="0.3">
      <c r="A578" t="s">
        <v>1110</v>
      </c>
      <c r="B578" t="s">
        <v>2349</v>
      </c>
      <c r="C578">
        <v>63</v>
      </c>
      <c r="D578" t="s">
        <v>1328</v>
      </c>
      <c r="E578" t="s">
        <v>1425</v>
      </c>
      <c r="F578" t="s">
        <v>1409</v>
      </c>
      <c r="G578">
        <v>6023682378</v>
      </c>
    </row>
    <row r="579" spans="1:7" x14ac:dyDescent="0.3">
      <c r="A579" t="s">
        <v>2350</v>
      </c>
      <c r="B579" t="s">
        <v>2351</v>
      </c>
      <c r="C579">
        <v>19</v>
      </c>
      <c r="D579" t="s">
        <v>1336</v>
      </c>
      <c r="E579" t="s">
        <v>1637</v>
      </c>
      <c r="F579" t="s">
        <v>1368</v>
      </c>
      <c r="G579">
        <v>9305608665</v>
      </c>
    </row>
    <row r="580" spans="1:7" x14ac:dyDescent="0.3">
      <c r="A580" t="s">
        <v>2352</v>
      </c>
      <c r="B580" t="s">
        <v>2353</v>
      </c>
      <c r="C580">
        <v>51</v>
      </c>
      <c r="D580" t="s">
        <v>1336</v>
      </c>
      <c r="E580" t="s">
        <v>1478</v>
      </c>
      <c r="F580" t="s">
        <v>1391</v>
      </c>
      <c r="G580">
        <v>6743041346</v>
      </c>
    </row>
    <row r="581" spans="1:7" x14ac:dyDescent="0.3">
      <c r="A581" t="s">
        <v>2354</v>
      </c>
      <c r="B581" t="s">
        <v>2355</v>
      </c>
      <c r="C581">
        <v>27</v>
      </c>
      <c r="D581" t="s">
        <v>1328</v>
      </c>
      <c r="E581" t="s">
        <v>1388</v>
      </c>
      <c r="F581" t="s">
        <v>1342</v>
      </c>
      <c r="G581">
        <v>6921144286</v>
      </c>
    </row>
    <row r="582" spans="1:7" x14ac:dyDescent="0.3">
      <c r="A582" t="s">
        <v>118</v>
      </c>
      <c r="B582" t="s">
        <v>2356</v>
      </c>
      <c r="C582">
        <v>64</v>
      </c>
      <c r="D582" t="s">
        <v>1336</v>
      </c>
      <c r="E582" t="s">
        <v>1332</v>
      </c>
      <c r="F582" t="s">
        <v>1333</v>
      </c>
      <c r="G582">
        <v>7721496058</v>
      </c>
    </row>
    <row r="583" spans="1:7" x14ac:dyDescent="0.3">
      <c r="A583" t="s">
        <v>694</v>
      </c>
      <c r="B583" t="s">
        <v>2357</v>
      </c>
      <c r="C583">
        <v>63</v>
      </c>
      <c r="D583" t="s">
        <v>1336</v>
      </c>
      <c r="E583" t="s">
        <v>1501</v>
      </c>
      <c r="F583" t="s">
        <v>1394</v>
      </c>
      <c r="G583">
        <v>9438916331</v>
      </c>
    </row>
    <row r="584" spans="1:7" x14ac:dyDescent="0.3">
      <c r="A584" t="s">
        <v>747</v>
      </c>
      <c r="B584" t="s">
        <v>2358</v>
      </c>
      <c r="C584">
        <v>20</v>
      </c>
      <c r="D584" t="s">
        <v>1336</v>
      </c>
      <c r="E584" t="s">
        <v>1832</v>
      </c>
      <c r="F584" t="s">
        <v>1368</v>
      </c>
      <c r="G584">
        <v>6369662964</v>
      </c>
    </row>
    <row r="585" spans="1:7" x14ac:dyDescent="0.3">
      <c r="A585" t="s">
        <v>2359</v>
      </c>
      <c r="B585" t="s">
        <v>2360</v>
      </c>
      <c r="C585">
        <v>33</v>
      </c>
      <c r="D585" t="s">
        <v>1336</v>
      </c>
      <c r="E585" t="s">
        <v>1556</v>
      </c>
      <c r="F585" t="s">
        <v>1333</v>
      </c>
      <c r="G585">
        <v>9724235491</v>
      </c>
    </row>
    <row r="586" spans="1:7" x14ac:dyDescent="0.3">
      <c r="A586" t="s">
        <v>2361</v>
      </c>
      <c r="B586" t="s">
        <v>2362</v>
      </c>
      <c r="C586">
        <v>62</v>
      </c>
      <c r="D586" t="s">
        <v>1328</v>
      </c>
      <c r="E586" t="s">
        <v>1381</v>
      </c>
      <c r="F586" t="s">
        <v>1352</v>
      </c>
      <c r="G586">
        <v>6766763971</v>
      </c>
    </row>
    <row r="587" spans="1:7" x14ac:dyDescent="0.3">
      <c r="A587" t="s">
        <v>2363</v>
      </c>
      <c r="B587" t="s">
        <v>2364</v>
      </c>
      <c r="C587">
        <v>43</v>
      </c>
      <c r="D587" t="s">
        <v>1336</v>
      </c>
      <c r="E587" t="s">
        <v>1351</v>
      </c>
      <c r="F587" t="s">
        <v>1352</v>
      </c>
      <c r="G587">
        <v>7245595632</v>
      </c>
    </row>
    <row r="588" spans="1:7" x14ac:dyDescent="0.3">
      <c r="A588" t="s">
        <v>2365</v>
      </c>
      <c r="B588" t="s">
        <v>2366</v>
      </c>
      <c r="C588">
        <v>36</v>
      </c>
      <c r="D588" t="s">
        <v>1328</v>
      </c>
      <c r="E588" t="s">
        <v>1747</v>
      </c>
      <c r="F588" t="s">
        <v>1391</v>
      </c>
      <c r="G588">
        <v>9596633470</v>
      </c>
    </row>
    <row r="589" spans="1:7" x14ac:dyDescent="0.3">
      <c r="A589" t="s">
        <v>2367</v>
      </c>
      <c r="B589" t="s">
        <v>2368</v>
      </c>
      <c r="C589">
        <v>44</v>
      </c>
      <c r="D589" t="s">
        <v>1336</v>
      </c>
      <c r="E589" t="s">
        <v>1466</v>
      </c>
      <c r="F589" t="s">
        <v>1338</v>
      </c>
      <c r="G589">
        <v>7323228376</v>
      </c>
    </row>
    <row r="590" spans="1:7" x14ac:dyDescent="0.3">
      <c r="A590" t="s">
        <v>1056</v>
      </c>
      <c r="B590" t="s">
        <v>2369</v>
      </c>
      <c r="C590">
        <v>50</v>
      </c>
      <c r="D590" t="s">
        <v>1336</v>
      </c>
      <c r="E590" t="s">
        <v>1483</v>
      </c>
      <c r="F590" t="s">
        <v>1368</v>
      </c>
      <c r="G590">
        <v>9849444791</v>
      </c>
    </row>
    <row r="591" spans="1:7" x14ac:dyDescent="0.3">
      <c r="A591" t="s">
        <v>2370</v>
      </c>
      <c r="B591" t="s">
        <v>2371</v>
      </c>
      <c r="C591">
        <v>63</v>
      </c>
      <c r="D591" t="s">
        <v>1336</v>
      </c>
      <c r="E591" t="s">
        <v>1358</v>
      </c>
      <c r="F591" t="s">
        <v>1356</v>
      </c>
      <c r="G591">
        <v>6198094384</v>
      </c>
    </row>
    <row r="592" spans="1:7" x14ac:dyDescent="0.3">
      <c r="A592" t="s">
        <v>2372</v>
      </c>
      <c r="B592" t="s">
        <v>2373</v>
      </c>
      <c r="C592">
        <v>60</v>
      </c>
      <c r="D592" t="s">
        <v>1336</v>
      </c>
      <c r="E592" t="s">
        <v>1358</v>
      </c>
      <c r="F592" t="s">
        <v>1356</v>
      </c>
      <c r="G592">
        <v>9408744414</v>
      </c>
    </row>
    <row r="593" spans="1:7" x14ac:dyDescent="0.3">
      <c r="A593" t="s">
        <v>2374</v>
      </c>
      <c r="B593" t="s">
        <v>2375</v>
      </c>
      <c r="C593">
        <v>40</v>
      </c>
      <c r="D593" t="s">
        <v>1328</v>
      </c>
      <c r="E593" t="s">
        <v>1517</v>
      </c>
      <c r="F593" t="s">
        <v>1362</v>
      </c>
      <c r="G593">
        <v>6489861809</v>
      </c>
    </row>
    <row r="594" spans="1:7" x14ac:dyDescent="0.3">
      <c r="A594" t="s">
        <v>2376</v>
      </c>
      <c r="B594" t="s">
        <v>2377</v>
      </c>
      <c r="C594">
        <v>29</v>
      </c>
      <c r="D594" t="s">
        <v>1336</v>
      </c>
      <c r="E594" t="s">
        <v>1438</v>
      </c>
      <c r="F594" t="s">
        <v>1419</v>
      </c>
      <c r="G594">
        <v>9732286795</v>
      </c>
    </row>
    <row r="595" spans="1:7" x14ac:dyDescent="0.3">
      <c r="A595" t="s">
        <v>2378</v>
      </c>
      <c r="B595" t="s">
        <v>2379</v>
      </c>
      <c r="C595">
        <v>26</v>
      </c>
      <c r="D595" t="s">
        <v>1336</v>
      </c>
      <c r="E595" t="s">
        <v>1351</v>
      </c>
      <c r="F595" t="s">
        <v>1352</v>
      </c>
      <c r="G595">
        <v>8715153462</v>
      </c>
    </row>
    <row r="596" spans="1:7" x14ac:dyDescent="0.3">
      <c r="A596" t="s">
        <v>2380</v>
      </c>
      <c r="B596" t="s">
        <v>2381</v>
      </c>
      <c r="C596">
        <v>42</v>
      </c>
      <c r="D596" t="s">
        <v>1336</v>
      </c>
      <c r="E596" t="s">
        <v>1441</v>
      </c>
      <c r="F596" t="s">
        <v>1394</v>
      </c>
      <c r="G596">
        <v>9034603302</v>
      </c>
    </row>
    <row r="597" spans="1:7" x14ac:dyDescent="0.3">
      <c r="A597" t="s">
        <v>192</v>
      </c>
      <c r="B597" t="s">
        <v>2382</v>
      </c>
      <c r="C597">
        <v>37</v>
      </c>
      <c r="D597" t="s">
        <v>1328</v>
      </c>
      <c r="E597" t="s">
        <v>1599</v>
      </c>
      <c r="F597" t="s">
        <v>1400</v>
      </c>
      <c r="G597">
        <v>7635347285</v>
      </c>
    </row>
    <row r="598" spans="1:7" x14ac:dyDescent="0.3">
      <c r="A598" t="s">
        <v>2383</v>
      </c>
      <c r="B598" t="s">
        <v>2384</v>
      </c>
      <c r="C598">
        <v>57</v>
      </c>
      <c r="D598" t="s">
        <v>1328</v>
      </c>
      <c r="E598" t="s">
        <v>1381</v>
      </c>
      <c r="F598" t="s">
        <v>1352</v>
      </c>
      <c r="G598">
        <v>9700176929</v>
      </c>
    </row>
    <row r="599" spans="1:7" x14ac:dyDescent="0.3">
      <c r="A599" t="s">
        <v>2385</v>
      </c>
      <c r="B599" t="s">
        <v>2386</v>
      </c>
      <c r="C599">
        <v>52</v>
      </c>
      <c r="D599" t="s">
        <v>1328</v>
      </c>
      <c r="E599" t="s">
        <v>1501</v>
      </c>
      <c r="F599" t="s">
        <v>1394</v>
      </c>
      <c r="G599">
        <v>8743583613</v>
      </c>
    </row>
    <row r="600" spans="1:7" x14ac:dyDescent="0.3">
      <c r="A600" t="s">
        <v>2387</v>
      </c>
      <c r="B600" t="s">
        <v>2388</v>
      </c>
      <c r="C600">
        <v>45</v>
      </c>
      <c r="D600" t="s">
        <v>1336</v>
      </c>
      <c r="E600" t="s">
        <v>1425</v>
      </c>
      <c r="F600" t="s">
        <v>1409</v>
      </c>
      <c r="G600">
        <v>6773689074</v>
      </c>
    </row>
    <row r="601" spans="1:7" x14ac:dyDescent="0.3">
      <c r="A601" t="s">
        <v>1106</v>
      </c>
      <c r="B601" t="s">
        <v>2389</v>
      </c>
      <c r="C601">
        <v>53</v>
      </c>
      <c r="D601" t="s">
        <v>1328</v>
      </c>
      <c r="E601" t="s">
        <v>1408</v>
      </c>
      <c r="F601" t="s">
        <v>1409</v>
      </c>
      <c r="G601">
        <v>8798054448</v>
      </c>
    </row>
    <row r="602" spans="1:7" x14ac:dyDescent="0.3">
      <c r="A602" t="s">
        <v>2390</v>
      </c>
      <c r="B602" t="s">
        <v>2391</v>
      </c>
      <c r="C602">
        <v>42</v>
      </c>
      <c r="D602" t="s">
        <v>1336</v>
      </c>
      <c r="E602" t="s">
        <v>1463</v>
      </c>
      <c r="F602" t="s">
        <v>1391</v>
      </c>
      <c r="G602">
        <v>7887606711</v>
      </c>
    </row>
    <row r="603" spans="1:7" x14ac:dyDescent="0.3">
      <c r="A603" t="s">
        <v>2392</v>
      </c>
      <c r="B603" t="s">
        <v>2393</v>
      </c>
      <c r="C603">
        <v>42</v>
      </c>
      <c r="D603" t="s">
        <v>1328</v>
      </c>
      <c r="E603" t="s">
        <v>1845</v>
      </c>
      <c r="F603" t="s">
        <v>1330</v>
      </c>
      <c r="G603">
        <v>6373204554</v>
      </c>
    </row>
    <row r="604" spans="1:7" x14ac:dyDescent="0.3">
      <c r="A604" t="s">
        <v>2394</v>
      </c>
      <c r="B604" t="s">
        <v>2395</v>
      </c>
      <c r="C604">
        <v>33</v>
      </c>
      <c r="D604" t="s">
        <v>1328</v>
      </c>
      <c r="E604" t="s">
        <v>1381</v>
      </c>
      <c r="F604" t="s">
        <v>1352</v>
      </c>
      <c r="G604">
        <v>9125947232</v>
      </c>
    </row>
    <row r="605" spans="1:7" x14ac:dyDescent="0.3">
      <c r="A605" t="s">
        <v>2396</v>
      </c>
      <c r="B605" t="s">
        <v>2397</v>
      </c>
      <c r="C605">
        <v>64</v>
      </c>
      <c r="D605" t="s">
        <v>1336</v>
      </c>
      <c r="E605" t="s">
        <v>1511</v>
      </c>
      <c r="F605" t="s">
        <v>1419</v>
      </c>
      <c r="G605">
        <v>9432177846</v>
      </c>
    </row>
    <row r="606" spans="1:7" x14ac:dyDescent="0.3">
      <c r="A606" t="s">
        <v>2398</v>
      </c>
      <c r="B606" t="s">
        <v>2399</v>
      </c>
      <c r="C606">
        <v>48</v>
      </c>
      <c r="D606" t="s">
        <v>1328</v>
      </c>
      <c r="E606" t="s">
        <v>1332</v>
      </c>
      <c r="F606" t="s">
        <v>1333</v>
      </c>
      <c r="G606">
        <v>9969955618</v>
      </c>
    </row>
    <row r="607" spans="1:7" x14ac:dyDescent="0.3">
      <c r="A607" t="s">
        <v>2400</v>
      </c>
      <c r="B607" t="s">
        <v>2401</v>
      </c>
      <c r="C607">
        <v>39</v>
      </c>
      <c r="D607" t="s">
        <v>1328</v>
      </c>
      <c r="E607" t="s">
        <v>1475</v>
      </c>
      <c r="F607" t="s">
        <v>1419</v>
      </c>
      <c r="G607">
        <v>6690048571</v>
      </c>
    </row>
    <row r="608" spans="1:7" x14ac:dyDescent="0.3">
      <c r="A608" t="s">
        <v>2402</v>
      </c>
      <c r="B608" t="s">
        <v>2403</v>
      </c>
      <c r="C608">
        <v>60</v>
      </c>
      <c r="D608" t="s">
        <v>1328</v>
      </c>
      <c r="E608" t="s">
        <v>1441</v>
      </c>
      <c r="F608" t="s">
        <v>1394</v>
      </c>
      <c r="G608">
        <v>8298256425</v>
      </c>
    </row>
    <row r="609" spans="1:7" x14ac:dyDescent="0.3">
      <c r="A609" t="s">
        <v>458</v>
      </c>
      <c r="B609" t="s">
        <v>2404</v>
      </c>
      <c r="C609">
        <v>18</v>
      </c>
      <c r="D609" t="s">
        <v>1328</v>
      </c>
      <c r="E609" t="s">
        <v>1542</v>
      </c>
      <c r="F609" t="s">
        <v>1409</v>
      </c>
      <c r="G609">
        <v>8608006415</v>
      </c>
    </row>
    <row r="610" spans="1:7" x14ac:dyDescent="0.3">
      <c r="A610" t="s">
        <v>2405</v>
      </c>
      <c r="B610" t="s">
        <v>2406</v>
      </c>
      <c r="C610">
        <v>41</v>
      </c>
      <c r="D610" t="s">
        <v>1328</v>
      </c>
      <c r="E610" t="s">
        <v>1556</v>
      </c>
      <c r="F610" t="s">
        <v>1333</v>
      </c>
      <c r="G610">
        <v>6761718457</v>
      </c>
    </row>
    <row r="611" spans="1:7" x14ac:dyDescent="0.3">
      <c r="A611" t="s">
        <v>881</v>
      </c>
      <c r="B611" t="s">
        <v>2407</v>
      </c>
      <c r="C611">
        <v>41</v>
      </c>
      <c r="D611" t="s">
        <v>1328</v>
      </c>
      <c r="E611" t="s">
        <v>1355</v>
      </c>
      <c r="F611" t="s">
        <v>1356</v>
      </c>
      <c r="G611">
        <v>8768505917</v>
      </c>
    </row>
    <row r="612" spans="1:7" x14ac:dyDescent="0.3">
      <c r="A612" t="s">
        <v>849</v>
      </c>
      <c r="B612" t="s">
        <v>2408</v>
      </c>
      <c r="C612">
        <v>20</v>
      </c>
      <c r="D612" t="s">
        <v>1336</v>
      </c>
      <c r="E612" t="s">
        <v>1422</v>
      </c>
      <c r="F612" t="s">
        <v>1330</v>
      </c>
      <c r="G612">
        <v>6190136090</v>
      </c>
    </row>
    <row r="613" spans="1:7" x14ac:dyDescent="0.3">
      <c r="A613" t="s">
        <v>452</v>
      </c>
      <c r="B613" t="s">
        <v>2409</v>
      </c>
      <c r="C613">
        <v>65</v>
      </c>
      <c r="D613" t="s">
        <v>1328</v>
      </c>
      <c r="E613" t="s">
        <v>1461</v>
      </c>
      <c r="F613" t="s">
        <v>1445</v>
      </c>
      <c r="G613">
        <v>6941884662</v>
      </c>
    </row>
    <row r="614" spans="1:7" x14ac:dyDescent="0.3">
      <c r="A614" t="s">
        <v>2410</v>
      </c>
      <c r="B614" t="s">
        <v>2411</v>
      </c>
      <c r="C614">
        <v>22</v>
      </c>
      <c r="D614" t="s">
        <v>1328</v>
      </c>
      <c r="E614" t="s">
        <v>1393</v>
      </c>
      <c r="F614" t="s">
        <v>1394</v>
      </c>
      <c r="G614">
        <v>8860888371</v>
      </c>
    </row>
    <row r="615" spans="1:7" x14ac:dyDescent="0.3">
      <c r="A615" t="s">
        <v>2412</v>
      </c>
      <c r="B615" t="s">
        <v>2413</v>
      </c>
      <c r="C615">
        <v>23</v>
      </c>
      <c r="D615" t="s">
        <v>1336</v>
      </c>
      <c r="E615" t="s">
        <v>1591</v>
      </c>
      <c r="F615" t="s">
        <v>1352</v>
      </c>
      <c r="G615">
        <v>8157653119</v>
      </c>
    </row>
    <row r="616" spans="1:7" x14ac:dyDescent="0.3">
      <c r="A616" t="s">
        <v>1100</v>
      </c>
      <c r="B616" t="s">
        <v>2414</v>
      </c>
      <c r="C616">
        <v>40</v>
      </c>
      <c r="D616" t="s">
        <v>1328</v>
      </c>
      <c r="E616" t="s">
        <v>1668</v>
      </c>
      <c r="F616" t="s">
        <v>1445</v>
      </c>
      <c r="G616">
        <v>9913913051</v>
      </c>
    </row>
    <row r="617" spans="1:7" x14ac:dyDescent="0.3">
      <c r="A617" t="s">
        <v>2415</v>
      </c>
      <c r="B617" t="s">
        <v>2416</v>
      </c>
      <c r="C617">
        <v>42</v>
      </c>
      <c r="D617" t="s">
        <v>1328</v>
      </c>
      <c r="E617" t="s">
        <v>1415</v>
      </c>
      <c r="F617" t="s">
        <v>1348</v>
      </c>
      <c r="G617">
        <v>7080980605</v>
      </c>
    </row>
    <row r="618" spans="1:7" x14ac:dyDescent="0.3">
      <c r="A618" t="s">
        <v>2417</v>
      </c>
      <c r="B618" t="s">
        <v>2418</v>
      </c>
      <c r="C618">
        <v>45</v>
      </c>
      <c r="D618" t="s">
        <v>1328</v>
      </c>
      <c r="E618" t="s">
        <v>1408</v>
      </c>
      <c r="F618" t="s">
        <v>1409</v>
      </c>
      <c r="G618">
        <v>8763639669</v>
      </c>
    </row>
    <row r="619" spans="1:7" x14ac:dyDescent="0.3">
      <c r="A619" t="s">
        <v>2419</v>
      </c>
      <c r="B619" t="s">
        <v>2420</v>
      </c>
      <c r="C619">
        <v>47</v>
      </c>
      <c r="D619" t="s">
        <v>1328</v>
      </c>
      <c r="E619" t="s">
        <v>1463</v>
      </c>
      <c r="F619" t="s">
        <v>1391</v>
      </c>
      <c r="G619">
        <v>7049243544</v>
      </c>
    </row>
    <row r="620" spans="1:7" x14ac:dyDescent="0.3">
      <c r="A620" t="s">
        <v>2421</v>
      </c>
      <c r="B620" t="s">
        <v>2422</v>
      </c>
      <c r="C620">
        <v>26</v>
      </c>
      <c r="D620" t="s">
        <v>1336</v>
      </c>
      <c r="E620" t="s">
        <v>1637</v>
      </c>
      <c r="F620" t="s">
        <v>1368</v>
      </c>
      <c r="G620">
        <v>9781306040</v>
      </c>
    </row>
    <row r="621" spans="1:7" x14ac:dyDescent="0.3">
      <c r="A621" t="s">
        <v>2423</v>
      </c>
      <c r="B621" t="s">
        <v>2424</v>
      </c>
      <c r="C621">
        <v>20</v>
      </c>
      <c r="D621" t="s">
        <v>1336</v>
      </c>
      <c r="E621" t="s">
        <v>1358</v>
      </c>
      <c r="F621" t="s">
        <v>1356</v>
      </c>
      <c r="G621">
        <v>6460085840</v>
      </c>
    </row>
    <row r="622" spans="1:7" x14ac:dyDescent="0.3">
      <c r="A622" t="s">
        <v>2425</v>
      </c>
      <c r="B622" t="s">
        <v>2426</v>
      </c>
      <c r="C622">
        <v>45</v>
      </c>
      <c r="D622" t="s">
        <v>1336</v>
      </c>
      <c r="E622" t="s">
        <v>1403</v>
      </c>
      <c r="F622" t="s">
        <v>1362</v>
      </c>
      <c r="G622">
        <v>9755322502</v>
      </c>
    </row>
    <row r="623" spans="1:7" x14ac:dyDescent="0.3">
      <c r="A623" t="s">
        <v>2427</v>
      </c>
      <c r="B623" t="s">
        <v>2428</v>
      </c>
      <c r="C623">
        <v>52</v>
      </c>
      <c r="D623" t="s">
        <v>1328</v>
      </c>
      <c r="E623" t="s">
        <v>1422</v>
      </c>
      <c r="F623" t="s">
        <v>1330</v>
      </c>
      <c r="G623">
        <v>7097072860</v>
      </c>
    </row>
    <row r="624" spans="1:7" x14ac:dyDescent="0.3">
      <c r="A624" t="s">
        <v>2429</v>
      </c>
      <c r="B624" t="s">
        <v>2430</v>
      </c>
      <c r="C624">
        <v>65</v>
      </c>
      <c r="D624" t="s">
        <v>1328</v>
      </c>
      <c r="E624" t="s">
        <v>1461</v>
      </c>
      <c r="F624" t="s">
        <v>1445</v>
      </c>
      <c r="G624">
        <v>9640957966</v>
      </c>
    </row>
    <row r="625" spans="1:7" x14ac:dyDescent="0.3">
      <c r="A625" t="s">
        <v>330</v>
      </c>
      <c r="B625" t="s">
        <v>2431</v>
      </c>
      <c r="C625">
        <v>28</v>
      </c>
      <c r="D625" t="s">
        <v>1328</v>
      </c>
      <c r="E625" t="s">
        <v>1403</v>
      </c>
      <c r="F625" t="s">
        <v>1362</v>
      </c>
      <c r="G625">
        <v>7152092861</v>
      </c>
    </row>
    <row r="626" spans="1:7" x14ac:dyDescent="0.3">
      <c r="A626" t="s">
        <v>549</v>
      </c>
      <c r="B626" t="s">
        <v>2432</v>
      </c>
      <c r="C626">
        <v>20</v>
      </c>
      <c r="D626" t="s">
        <v>1336</v>
      </c>
      <c r="E626" t="s">
        <v>1383</v>
      </c>
      <c r="F626" t="s">
        <v>1338</v>
      </c>
      <c r="G626">
        <v>8150224612</v>
      </c>
    </row>
    <row r="627" spans="1:7" x14ac:dyDescent="0.3">
      <c r="A627" t="s">
        <v>2433</v>
      </c>
      <c r="B627" t="s">
        <v>2434</v>
      </c>
      <c r="C627">
        <v>47</v>
      </c>
      <c r="D627" t="s">
        <v>1336</v>
      </c>
      <c r="E627" t="s">
        <v>1388</v>
      </c>
      <c r="F627" t="s">
        <v>1342</v>
      </c>
      <c r="G627">
        <v>7709962416</v>
      </c>
    </row>
    <row r="628" spans="1:7" x14ac:dyDescent="0.3">
      <c r="A628" t="s">
        <v>2435</v>
      </c>
      <c r="B628" t="s">
        <v>2436</v>
      </c>
      <c r="C628">
        <v>27</v>
      </c>
      <c r="D628" t="s">
        <v>1336</v>
      </c>
      <c r="E628" t="s">
        <v>1347</v>
      </c>
      <c r="F628" t="s">
        <v>1348</v>
      </c>
      <c r="G628">
        <v>8561104145</v>
      </c>
    </row>
    <row r="629" spans="1:7" x14ac:dyDescent="0.3">
      <c r="A629" t="s">
        <v>2437</v>
      </c>
      <c r="B629" t="s">
        <v>2438</v>
      </c>
      <c r="C629">
        <v>20</v>
      </c>
      <c r="D629" t="s">
        <v>1336</v>
      </c>
      <c r="E629" t="s">
        <v>1461</v>
      </c>
      <c r="F629" t="s">
        <v>1445</v>
      </c>
      <c r="G629">
        <v>6242399535</v>
      </c>
    </row>
    <row r="630" spans="1:7" x14ac:dyDescent="0.3">
      <c r="A630" t="s">
        <v>968</v>
      </c>
      <c r="B630" t="s">
        <v>2439</v>
      </c>
      <c r="C630">
        <v>50</v>
      </c>
      <c r="D630" t="s">
        <v>1328</v>
      </c>
      <c r="E630" t="s">
        <v>1425</v>
      </c>
      <c r="F630" t="s">
        <v>1409</v>
      </c>
      <c r="G630">
        <v>8805218939</v>
      </c>
    </row>
    <row r="631" spans="1:7" x14ac:dyDescent="0.3">
      <c r="A631" t="s">
        <v>2440</v>
      </c>
      <c r="B631" t="s">
        <v>2441</v>
      </c>
      <c r="C631">
        <v>47</v>
      </c>
      <c r="D631" t="s">
        <v>1336</v>
      </c>
      <c r="E631" t="s">
        <v>1832</v>
      </c>
      <c r="F631" t="s">
        <v>1368</v>
      </c>
      <c r="G631">
        <v>6495362662</v>
      </c>
    </row>
    <row r="632" spans="1:7" x14ac:dyDescent="0.3">
      <c r="A632" t="s">
        <v>918</v>
      </c>
      <c r="B632" t="s">
        <v>2442</v>
      </c>
      <c r="C632">
        <v>19</v>
      </c>
      <c r="D632" t="s">
        <v>1336</v>
      </c>
      <c r="E632" t="s">
        <v>1713</v>
      </c>
      <c r="F632" t="s">
        <v>1409</v>
      </c>
      <c r="G632">
        <v>6452512385</v>
      </c>
    </row>
    <row r="633" spans="1:7" x14ac:dyDescent="0.3">
      <c r="A633" t="s">
        <v>2443</v>
      </c>
      <c r="B633" t="s">
        <v>2444</v>
      </c>
      <c r="C633">
        <v>50</v>
      </c>
      <c r="D633" t="s">
        <v>1328</v>
      </c>
      <c r="E633" t="s">
        <v>1542</v>
      </c>
      <c r="F633" t="s">
        <v>1409</v>
      </c>
      <c r="G633">
        <v>6354533444</v>
      </c>
    </row>
    <row r="634" spans="1:7" x14ac:dyDescent="0.3">
      <c r="A634" t="s">
        <v>715</v>
      </c>
      <c r="B634" t="s">
        <v>2445</v>
      </c>
      <c r="C634">
        <v>30</v>
      </c>
      <c r="D634" t="s">
        <v>1336</v>
      </c>
      <c r="E634" t="s">
        <v>1361</v>
      </c>
      <c r="F634" t="s">
        <v>1362</v>
      </c>
      <c r="G634">
        <v>8415944180</v>
      </c>
    </row>
    <row r="635" spans="1:7" x14ac:dyDescent="0.3">
      <c r="A635" t="s">
        <v>2446</v>
      </c>
      <c r="B635" t="s">
        <v>2447</v>
      </c>
      <c r="C635">
        <v>52</v>
      </c>
      <c r="D635" t="s">
        <v>1336</v>
      </c>
      <c r="E635" t="s">
        <v>1451</v>
      </c>
      <c r="F635" t="s">
        <v>1445</v>
      </c>
      <c r="G635">
        <v>7980131526</v>
      </c>
    </row>
    <row r="636" spans="1:7" x14ac:dyDescent="0.3">
      <c r="A636" t="s">
        <v>2448</v>
      </c>
      <c r="B636" t="s">
        <v>2449</v>
      </c>
      <c r="C636">
        <v>54</v>
      </c>
      <c r="D636" t="s">
        <v>1328</v>
      </c>
      <c r="E636" t="s">
        <v>1337</v>
      </c>
      <c r="F636" t="s">
        <v>1338</v>
      </c>
      <c r="G636">
        <v>7803797111</v>
      </c>
    </row>
    <row r="637" spans="1:7" x14ac:dyDescent="0.3">
      <c r="A637" t="s">
        <v>2450</v>
      </c>
      <c r="B637" t="s">
        <v>2451</v>
      </c>
      <c r="C637">
        <v>59</v>
      </c>
      <c r="D637" t="s">
        <v>1336</v>
      </c>
      <c r="E637" t="s">
        <v>1422</v>
      </c>
      <c r="F637" t="s">
        <v>1330</v>
      </c>
      <c r="G637">
        <v>6986473910</v>
      </c>
    </row>
    <row r="638" spans="1:7" x14ac:dyDescent="0.3">
      <c r="A638" t="s">
        <v>242</v>
      </c>
      <c r="B638" t="s">
        <v>2452</v>
      </c>
      <c r="C638">
        <v>38</v>
      </c>
      <c r="D638" t="s">
        <v>1328</v>
      </c>
      <c r="E638" t="s">
        <v>1371</v>
      </c>
      <c r="F638" t="s">
        <v>1342</v>
      </c>
      <c r="G638">
        <v>6452514017</v>
      </c>
    </row>
    <row r="639" spans="1:7" x14ac:dyDescent="0.3">
      <c r="A639" t="s">
        <v>2453</v>
      </c>
      <c r="B639" t="s">
        <v>2454</v>
      </c>
      <c r="C639">
        <v>27</v>
      </c>
      <c r="D639" t="s">
        <v>1336</v>
      </c>
      <c r="E639" t="s">
        <v>1517</v>
      </c>
      <c r="F639" t="s">
        <v>1362</v>
      </c>
      <c r="G639">
        <v>7977421114</v>
      </c>
    </row>
    <row r="640" spans="1:7" x14ac:dyDescent="0.3">
      <c r="A640" t="s">
        <v>2455</v>
      </c>
      <c r="B640" t="s">
        <v>2456</v>
      </c>
      <c r="C640">
        <v>55</v>
      </c>
      <c r="D640" t="s">
        <v>1328</v>
      </c>
      <c r="E640" t="s">
        <v>1451</v>
      </c>
      <c r="F640" t="s">
        <v>1445</v>
      </c>
      <c r="G640">
        <v>6464571651</v>
      </c>
    </row>
    <row r="641" spans="1:7" x14ac:dyDescent="0.3">
      <c r="A641" t="s">
        <v>428</v>
      </c>
      <c r="B641" t="s">
        <v>2457</v>
      </c>
      <c r="C641">
        <v>24</v>
      </c>
      <c r="D641" t="s">
        <v>1328</v>
      </c>
      <c r="E641" t="s">
        <v>1413</v>
      </c>
      <c r="F641" t="s">
        <v>1348</v>
      </c>
      <c r="G641">
        <v>7413549072</v>
      </c>
    </row>
    <row r="642" spans="1:7" x14ac:dyDescent="0.3">
      <c r="A642" t="s">
        <v>2458</v>
      </c>
      <c r="B642" t="s">
        <v>2459</v>
      </c>
      <c r="C642">
        <v>33</v>
      </c>
      <c r="D642" t="s">
        <v>1336</v>
      </c>
      <c r="E642" t="s">
        <v>1845</v>
      </c>
      <c r="F642" t="s">
        <v>1330</v>
      </c>
      <c r="G642">
        <v>7232236743</v>
      </c>
    </row>
    <row r="643" spans="1:7" x14ac:dyDescent="0.3">
      <c r="A643" t="s">
        <v>2460</v>
      </c>
      <c r="B643" t="s">
        <v>2461</v>
      </c>
      <c r="C643">
        <v>39</v>
      </c>
      <c r="D643" t="s">
        <v>1336</v>
      </c>
      <c r="E643" t="s">
        <v>1602</v>
      </c>
      <c r="F643" t="s">
        <v>1400</v>
      </c>
      <c r="G643">
        <v>9233494338</v>
      </c>
    </row>
    <row r="644" spans="1:7" x14ac:dyDescent="0.3">
      <c r="A644" t="s">
        <v>2462</v>
      </c>
      <c r="B644" t="s">
        <v>2463</v>
      </c>
      <c r="C644">
        <v>26</v>
      </c>
      <c r="D644" t="s">
        <v>1336</v>
      </c>
      <c r="E644" t="s">
        <v>1478</v>
      </c>
      <c r="F644" t="s">
        <v>1391</v>
      </c>
      <c r="G644">
        <v>7253313821</v>
      </c>
    </row>
    <row r="645" spans="1:7" x14ac:dyDescent="0.3">
      <c r="A645" t="s">
        <v>384</v>
      </c>
      <c r="B645" t="s">
        <v>2464</v>
      </c>
      <c r="C645">
        <v>28</v>
      </c>
      <c r="D645" t="s">
        <v>1336</v>
      </c>
      <c r="E645" t="s">
        <v>1332</v>
      </c>
      <c r="F645" t="s">
        <v>1333</v>
      </c>
      <c r="G645">
        <v>7477697495</v>
      </c>
    </row>
    <row r="646" spans="1:7" x14ac:dyDescent="0.3">
      <c r="A646" t="s">
        <v>2465</v>
      </c>
      <c r="B646" t="s">
        <v>2466</v>
      </c>
      <c r="C646">
        <v>48</v>
      </c>
      <c r="D646" t="s">
        <v>1336</v>
      </c>
      <c r="E646" t="s">
        <v>1365</v>
      </c>
      <c r="F646" t="s">
        <v>1352</v>
      </c>
      <c r="G646">
        <v>8006160824</v>
      </c>
    </row>
    <row r="647" spans="1:7" x14ac:dyDescent="0.3">
      <c r="A647" t="s">
        <v>2467</v>
      </c>
      <c r="B647" t="s">
        <v>2468</v>
      </c>
      <c r="C647">
        <v>63</v>
      </c>
      <c r="D647" t="s">
        <v>1336</v>
      </c>
      <c r="E647" t="s">
        <v>1337</v>
      </c>
      <c r="F647" t="s">
        <v>1338</v>
      </c>
      <c r="G647">
        <v>7313573264</v>
      </c>
    </row>
    <row r="648" spans="1:7" x14ac:dyDescent="0.3">
      <c r="A648" t="s">
        <v>1216</v>
      </c>
      <c r="B648" t="s">
        <v>2469</v>
      </c>
      <c r="C648">
        <v>61</v>
      </c>
      <c r="D648" t="s">
        <v>1336</v>
      </c>
      <c r="E648" t="s">
        <v>1655</v>
      </c>
      <c r="F648" t="s">
        <v>1409</v>
      </c>
      <c r="G648">
        <v>8959172485</v>
      </c>
    </row>
    <row r="649" spans="1:7" x14ac:dyDescent="0.3">
      <c r="A649" t="s">
        <v>698</v>
      </c>
      <c r="B649" t="s">
        <v>2470</v>
      </c>
      <c r="C649">
        <v>49</v>
      </c>
      <c r="D649" t="s">
        <v>1336</v>
      </c>
      <c r="E649" t="s">
        <v>1388</v>
      </c>
      <c r="F649" t="s">
        <v>1342</v>
      </c>
      <c r="G649">
        <v>6699713702</v>
      </c>
    </row>
    <row r="650" spans="1:7" x14ac:dyDescent="0.3">
      <c r="A650" t="s">
        <v>1040</v>
      </c>
      <c r="B650" t="s">
        <v>2471</v>
      </c>
      <c r="C650">
        <v>33</v>
      </c>
      <c r="D650" t="s">
        <v>1328</v>
      </c>
      <c r="E650" t="s">
        <v>1747</v>
      </c>
      <c r="F650" t="s">
        <v>1391</v>
      </c>
      <c r="G650">
        <v>7015809620</v>
      </c>
    </row>
    <row r="651" spans="1:7" x14ac:dyDescent="0.3">
      <c r="A651" t="s">
        <v>2472</v>
      </c>
      <c r="B651" t="s">
        <v>2473</v>
      </c>
      <c r="C651">
        <v>56</v>
      </c>
      <c r="D651" t="s">
        <v>1328</v>
      </c>
      <c r="E651" t="s">
        <v>1602</v>
      </c>
      <c r="F651" t="s">
        <v>1400</v>
      </c>
      <c r="G651">
        <v>9826753533</v>
      </c>
    </row>
    <row r="652" spans="1:7" x14ac:dyDescent="0.3">
      <c r="A652" t="s">
        <v>1278</v>
      </c>
      <c r="B652" t="s">
        <v>2474</v>
      </c>
      <c r="C652">
        <v>35</v>
      </c>
      <c r="D652" t="s">
        <v>1328</v>
      </c>
      <c r="E652" t="s">
        <v>1425</v>
      </c>
      <c r="F652" t="s">
        <v>1409</v>
      </c>
      <c r="G652">
        <v>7830787696</v>
      </c>
    </row>
    <row r="653" spans="1:7" x14ac:dyDescent="0.3">
      <c r="A653" t="s">
        <v>2475</v>
      </c>
      <c r="B653" t="s">
        <v>2476</v>
      </c>
      <c r="C653">
        <v>19</v>
      </c>
      <c r="D653" t="s">
        <v>1328</v>
      </c>
      <c r="E653" t="s">
        <v>1341</v>
      </c>
      <c r="F653" t="s">
        <v>1342</v>
      </c>
      <c r="G653">
        <v>8135466342</v>
      </c>
    </row>
    <row r="654" spans="1:7" x14ac:dyDescent="0.3">
      <c r="A654" t="s">
        <v>2477</v>
      </c>
      <c r="B654" t="s">
        <v>2478</v>
      </c>
      <c r="C654">
        <v>22</v>
      </c>
      <c r="D654" t="s">
        <v>1328</v>
      </c>
      <c r="E654" t="s">
        <v>1422</v>
      </c>
      <c r="F654" t="s">
        <v>1330</v>
      </c>
      <c r="G654">
        <v>8279285773</v>
      </c>
    </row>
    <row r="655" spans="1:7" x14ac:dyDescent="0.3">
      <c r="A655" t="s">
        <v>302</v>
      </c>
      <c r="B655" t="s">
        <v>2479</v>
      </c>
      <c r="C655">
        <v>21</v>
      </c>
      <c r="D655" t="s">
        <v>1336</v>
      </c>
      <c r="E655" t="s">
        <v>1668</v>
      </c>
      <c r="F655" t="s">
        <v>1445</v>
      </c>
      <c r="G655">
        <v>7634494469</v>
      </c>
    </row>
    <row r="656" spans="1:7" x14ac:dyDescent="0.3">
      <c r="A656" t="s">
        <v>2480</v>
      </c>
      <c r="B656" t="s">
        <v>2481</v>
      </c>
      <c r="C656">
        <v>55</v>
      </c>
      <c r="D656" t="s">
        <v>1328</v>
      </c>
      <c r="E656" t="s">
        <v>1845</v>
      </c>
      <c r="F656" t="s">
        <v>1330</v>
      </c>
      <c r="G656">
        <v>6476386222</v>
      </c>
    </row>
    <row r="657" spans="1:7" x14ac:dyDescent="0.3">
      <c r="A657" t="s">
        <v>2482</v>
      </c>
      <c r="B657" t="s">
        <v>2483</v>
      </c>
      <c r="C657">
        <v>23</v>
      </c>
      <c r="D657" t="s">
        <v>1328</v>
      </c>
      <c r="E657" t="s">
        <v>1408</v>
      </c>
      <c r="F657" t="s">
        <v>1409</v>
      </c>
      <c r="G657">
        <v>7882272254</v>
      </c>
    </row>
    <row r="658" spans="1:7" x14ac:dyDescent="0.3">
      <c r="A658" t="s">
        <v>1306</v>
      </c>
      <c r="B658" t="s">
        <v>2484</v>
      </c>
      <c r="C658">
        <v>22</v>
      </c>
      <c r="D658" t="s">
        <v>1328</v>
      </c>
      <c r="E658" t="s">
        <v>1599</v>
      </c>
      <c r="F658" t="s">
        <v>1400</v>
      </c>
      <c r="G658">
        <v>6046715872</v>
      </c>
    </row>
    <row r="659" spans="1:7" x14ac:dyDescent="0.3">
      <c r="A659" t="s">
        <v>2485</v>
      </c>
      <c r="B659" t="s">
        <v>2486</v>
      </c>
      <c r="C659">
        <v>27</v>
      </c>
      <c r="D659" t="s">
        <v>1328</v>
      </c>
      <c r="E659" t="s">
        <v>1397</v>
      </c>
      <c r="F659" t="s">
        <v>1333</v>
      </c>
      <c r="G659">
        <v>6764020202</v>
      </c>
    </row>
    <row r="660" spans="1:7" x14ac:dyDescent="0.3">
      <c r="A660" t="s">
        <v>2487</v>
      </c>
      <c r="B660" t="s">
        <v>2488</v>
      </c>
      <c r="C660">
        <v>33</v>
      </c>
      <c r="D660" t="s">
        <v>1336</v>
      </c>
      <c r="E660" t="s">
        <v>1432</v>
      </c>
      <c r="F660" t="s">
        <v>1342</v>
      </c>
      <c r="G660">
        <v>6865610878</v>
      </c>
    </row>
    <row r="661" spans="1:7" x14ac:dyDescent="0.3">
      <c r="A661" t="s">
        <v>785</v>
      </c>
      <c r="B661" t="s">
        <v>2489</v>
      </c>
      <c r="C661">
        <v>20</v>
      </c>
      <c r="D661" t="s">
        <v>1328</v>
      </c>
      <c r="E661" t="s">
        <v>1377</v>
      </c>
      <c r="F661" t="s">
        <v>1368</v>
      </c>
      <c r="G661">
        <v>8383118355</v>
      </c>
    </row>
    <row r="662" spans="1:7" x14ac:dyDescent="0.3">
      <c r="A662" t="s">
        <v>411</v>
      </c>
      <c r="B662" t="s">
        <v>2490</v>
      </c>
      <c r="C662">
        <v>35</v>
      </c>
      <c r="D662" t="s">
        <v>1336</v>
      </c>
      <c r="E662" t="s">
        <v>1355</v>
      </c>
      <c r="F662" t="s">
        <v>1356</v>
      </c>
      <c r="G662">
        <v>9158871342</v>
      </c>
    </row>
    <row r="663" spans="1:7" x14ac:dyDescent="0.3">
      <c r="A663" t="s">
        <v>2491</v>
      </c>
      <c r="B663" t="s">
        <v>2492</v>
      </c>
      <c r="C663">
        <v>63</v>
      </c>
      <c r="D663" t="s">
        <v>1336</v>
      </c>
      <c r="E663" t="s">
        <v>1355</v>
      </c>
      <c r="F663" t="s">
        <v>1356</v>
      </c>
      <c r="G663">
        <v>8815061398</v>
      </c>
    </row>
    <row r="664" spans="1:7" x14ac:dyDescent="0.3">
      <c r="A664" t="s">
        <v>2493</v>
      </c>
      <c r="B664" t="s">
        <v>2494</v>
      </c>
      <c r="C664">
        <v>24</v>
      </c>
      <c r="D664" t="s">
        <v>1328</v>
      </c>
      <c r="E664" t="s">
        <v>1381</v>
      </c>
      <c r="F664" t="s">
        <v>1352</v>
      </c>
      <c r="G664">
        <v>9137360839</v>
      </c>
    </row>
    <row r="665" spans="1:7" x14ac:dyDescent="0.3">
      <c r="A665" t="s">
        <v>946</v>
      </c>
      <c r="B665" t="s">
        <v>2495</v>
      </c>
      <c r="C665">
        <v>46</v>
      </c>
      <c r="D665" t="s">
        <v>1328</v>
      </c>
      <c r="E665" t="s">
        <v>1430</v>
      </c>
      <c r="F665" t="s">
        <v>1330</v>
      </c>
      <c r="G665">
        <v>9136186814</v>
      </c>
    </row>
    <row r="666" spans="1:7" x14ac:dyDescent="0.3">
      <c r="A666" t="s">
        <v>745</v>
      </c>
      <c r="B666" t="s">
        <v>2496</v>
      </c>
      <c r="C666">
        <v>21</v>
      </c>
      <c r="D666" t="s">
        <v>1328</v>
      </c>
      <c r="E666" t="s">
        <v>1441</v>
      </c>
      <c r="F666" t="s">
        <v>1394</v>
      </c>
      <c r="G666">
        <v>7650365641</v>
      </c>
    </row>
    <row r="667" spans="1:7" x14ac:dyDescent="0.3">
      <c r="A667" t="s">
        <v>2497</v>
      </c>
      <c r="B667" t="s">
        <v>2498</v>
      </c>
      <c r="C667">
        <v>19</v>
      </c>
      <c r="D667" t="s">
        <v>1328</v>
      </c>
      <c r="E667" t="s">
        <v>1637</v>
      </c>
      <c r="F667" t="s">
        <v>1368</v>
      </c>
      <c r="G667">
        <v>8484345872</v>
      </c>
    </row>
    <row r="668" spans="1:7" x14ac:dyDescent="0.3">
      <c r="A668" t="s">
        <v>757</v>
      </c>
      <c r="B668" t="s">
        <v>2499</v>
      </c>
      <c r="C668">
        <v>19</v>
      </c>
      <c r="D668" t="s">
        <v>1336</v>
      </c>
      <c r="E668" t="s">
        <v>1403</v>
      </c>
      <c r="F668" t="s">
        <v>1362</v>
      </c>
      <c r="G668">
        <v>8608457505</v>
      </c>
    </row>
    <row r="669" spans="1:7" x14ac:dyDescent="0.3">
      <c r="A669" t="s">
        <v>2500</v>
      </c>
      <c r="B669" t="s">
        <v>2501</v>
      </c>
      <c r="C669">
        <v>30</v>
      </c>
      <c r="D669" t="s">
        <v>1328</v>
      </c>
      <c r="E669" t="s">
        <v>1563</v>
      </c>
      <c r="F669" t="s">
        <v>1356</v>
      </c>
      <c r="G669">
        <v>7830782235</v>
      </c>
    </row>
    <row r="670" spans="1:7" x14ac:dyDescent="0.3">
      <c r="A670" t="s">
        <v>598</v>
      </c>
      <c r="B670" t="s">
        <v>2502</v>
      </c>
      <c r="C670">
        <v>34</v>
      </c>
      <c r="D670" t="s">
        <v>1328</v>
      </c>
      <c r="E670" t="s">
        <v>1511</v>
      </c>
      <c r="F670" t="s">
        <v>1419</v>
      </c>
      <c r="G670">
        <v>7058457718</v>
      </c>
    </row>
    <row r="671" spans="1:7" x14ac:dyDescent="0.3">
      <c r="A671" t="s">
        <v>2503</v>
      </c>
      <c r="B671" t="s">
        <v>2504</v>
      </c>
      <c r="C671">
        <v>28</v>
      </c>
      <c r="D671" t="s">
        <v>1336</v>
      </c>
      <c r="E671" t="s">
        <v>1418</v>
      </c>
      <c r="F671" t="s">
        <v>1419</v>
      </c>
      <c r="G671">
        <v>6961854137</v>
      </c>
    </row>
    <row r="672" spans="1:7" x14ac:dyDescent="0.3">
      <c r="A672" t="s">
        <v>2505</v>
      </c>
      <c r="B672" t="s">
        <v>2506</v>
      </c>
      <c r="C672">
        <v>19</v>
      </c>
      <c r="D672" t="s">
        <v>1336</v>
      </c>
      <c r="E672" t="s">
        <v>1332</v>
      </c>
      <c r="F672" t="s">
        <v>1333</v>
      </c>
      <c r="G672">
        <v>6639491454</v>
      </c>
    </row>
    <row r="673" spans="1:7" x14ac:dyDescent="0.3">
      <c r="A673" t="s">
        <v>2507</v>
      </c>
      <c r="B673" t="s">
        <v>2508</v>
      </c>
      <c r="C673">
        <v>52</v>
      </c>
      <c r="D673" t="s">
        <v>1328</v>
      </c>
      <c r="E673" t="s">
        <v>1408</v>
      </c>
      <c r="F673" t="s">
        <v>1409</v>
      </c>
      <c r="G673">
        <v>9237433100</v>
      </c>
    </row>
    <row r="674" spans="1:7" x14ac:dyDescent="0.3">
      <c r="A674" t="s">
        <v>2509</v>
      </c>
      <c r="B674" t="s">
        <v>2510</v>
      </c>
      <c r="C674">
        <v>39</v>
      </c>
      <c r="D674" t="s">
        <v>1336</v>
      </c>
      <c r="E674" t="s">
        <v>1358</v>
      </c>
      <c r="F674" t="s">
        <v>1356</v>
      </c>
      <c r="G674">
        <v>6214225694</v>
      </c>
    </row>
    <row r="675" spans="1:7" x14ac:dyDescent="0.3">
      <c r="A675" t="s">
        <v>2511</v>
      </c>
      <c r="B675" t="s">
        <v>2512</v>
      </c>
      <c r="C675">
        <v>39</v>
      </c>
      <c r="D675" t="s">
        <v>1328</v>
      </c>
      <c r="E675" t="s">
        <v>1413</v>
      </c>
      <c r="F675" t="s">
        <v>1348</v>
      </c>
      <c r="G675">
        <v>9828711985</v>
      </c>
    </row>
    <row r="676" spans="1:7" x14ac:dyDescent="0.3">
      <c r="A676" t="s">
        <v>562</v>
      </c>
      <c r="B676" t="s">
        <v>2513</v>
      </c>
      <c r="C676">
        <v>22</v>
      </c>
      <c r="D676" t="s">
        <v>1336</v>
      </c>
      <c r="E676" t="s">
        <v>1451</v>
      </c>
      <c r="F676" t="s">
        <v>1445</v>
      </c>
      <c r="G676">
        <v>9049336206</v>
      </c>
    </row>
    <row r="677" spans="1:7" x14ac:dyDescent="0.3">
      <c r="A677" t="s">
        <v>2514</v>
      </c>
      <c r="B677" t="s">
        <v>2515</v>
      </c>
      <c r="C677">
        <v>49</v>
      </c>
      <c r="D677" t="s">
        <v>1336</v>
      </c>
      <c r="E677" t="s">
        <v>1411</v>
      </c>
      <c r="F677" t="s">
        <v>1356</v>
      </c>
      <c r="G677">
        <v>8942757995</v>
      </c>
    </row>
    <row r="678" spans="1:7" x14ac:dyDescent="0.3">
      <c r="A678" t="s">
        <v>2516</v>
      </c>
      <c r="B678" t="s">
        <v>2517</v>
      </c>
      <c r="C678">
        <v>62</v>
      </c>
      <c r="D678" t="s">
        <v>1328</v>
      </c>
      <c r="E678" t="s">
        <v>1415</v>
      </c>
      <c r="F678" t="s">
        <v>1348</v>
      </c>
      <c r="G678">
        <v>9293188290</v>
      </c>
    </row>
    <row r="679" spans="1:7" x14ac:dyDescent="0.3">
      <c r="A679" t="s">
        <v>1116</v>
      </c>
      <c r="B679" t="s">
        <v>2518</v>
      </c>
      <c r="C679">
        <v>20</v>
      </c>
      <c r="D679" t="s">
        <v>1328</v>
      </c>
      <c r="E679" t="s">
        <v>1361</v>
      </c>
      <c r="F679" t="s">
        <v>1362</v>
      </c>
      <c r="G679">
        <v>6404083252</v>
      </c>
    </row>
    <row r="680" spans="1:7" x14ac:dyDescent="0.3">
      <c r="A680" t="s">
        <v>717</v>
      </c>
      <c r="B680" t="s">
        <v>2519</v>
      </c>
      <c r="C680">
        <v>65</v>
      </c>
      <c r="D680" t="s">
        <v>1328</v>
      </c>
      <c r="E680" t="s">
        <v>1411</v>
      </c>
      <c r="F680" t="s">
        <v>1356</v>
      </c>
      <c r="G680">
        <v>8684499009</v>
      </c>
    </row>
    <row r="681" spans="1:7" x14ac:dyDescent="0.3">
      <c r="A681" t="s">
        <v>2520</v>
      </c>
      <c r="B681" t="s">
        <v>2521</v>
      </c>
      <c r="C681">
        <v>34</v>
      </c>
      <c r="D681" t="s">
        <v>1328</v>
      </c>
      <c r="E681" t="s">
        <v>1377</v>
      </c>
      <c r="F681" t="s">
        <v>1368</v>
      </c>
      <c r="G681">
        <v>9955560534</v>
      </c>
    </row>
    <row r="682" spans="1:7" x14ac:dyDescent="0.3">
      <c r="A682" t="s">
        <v>2522</v>
      </c>
      <c r="B682" t="s">
        <v>2523</v>
      </c>
      <c r="C682">
        <v>36</v>
      </c>
      <c r="D682" t="s">
        <v>1328</v>
      </c>
      <c r="E682" t="s">
        <v>1337</v>
      </c>
      <c r="F682" t="s">
        <v>1338</v>
      </c>
      <c r="G682">
        <v>7682710769</v>
      </c>
    </row>
    <row r="683" spans="1:7" x14ac:dyDescent="0.3">
      <c r="A683" t="s">
        <v>2524</v>
      </c>
      <c r="B683" t="s">
        <v>2525</v>
      </c>
      <c r="C683">
        <v>65</v>
      </c>
      <c r="D683" t="s">
        <v>1328</v>
      </c>
      <c r="E683" t="s">
        <v>1466</v>
      </c>
      <c r="F683" t="s">
        <v>1338</v>
      </c>
      <c r="G683">
        <v>6090220600</v>
      </c>
    </row>
    <row r="684" spans="1:7" x14ac:dyDescent="0.3">
      <c r="A684" t="s">
        <v>2526</v>
      </c>
      <c r="B684" t="s">
        <v>2527</v>
      </c>
      <c r="C684">
        <v>36</v>
      </c>
      <c r="D684" t="s">
        <v>1328</v>
      </c>
      <c r="E684" t="s">
        <v>1461</v>
      </c>
      <c r="F684" t="s">
        <v>1445</v>
      </c>
      <c r="G684">
        <v>6351252381</v>
      </c>
    </row>
    <row r="685" spans="1:7" x14ac:dyDescent="0.3">
      <c r="A685" t="s">
        <v>2528</v>
      </c>
      <c r="B685" t="s">
        <v>2529</v>
      </c>
      <c r="C685">
        <v>44</v>
      </c>
      <c r="D685" t="s">
        <v>1328</v>
      </c>
      <c r="E685" t="s">
        <v>1371</v>
      </c>
      <c r="F685" t="s">
        <v>1342</v>
      </c>
      <c r="G685">
        <v>7645303504</v>
      </c>
    </row>
    <row r="686" spans="1:7" x14ac:dyDescent="0.3">
      <c r="A686" t="s">
        <v>2530</v>
      </c>
      <c r="B686" t="s">
        <v>2531</v>
      </c>
      <c r="C686">
        <v>38</v>
      </c>
      <c r="D686" t="s">
        <v>1328</v>
      </c>
      <c r="E686" t="s">
        <v>1347</v>
      </c>
      <c r="F686" t="s">
        <v>1348</v>
      </c>
      <c r="G686">
        <v>6965557195</v>
      </c>
    </row>
    <row r="687" spans="1:7" x14ac:dyDescent="0.3">
      <c r="A687" t="s">
        <v>2532</v>
      </c>
      <c r="B687" t="s">
        <v>2533</v>
      </c>
      <c r="C687">
        <v>24</v>
      </c>
      <c r="D687" t="s">
        <v>1328</v>
      </c>
      <c r="E687" t="s">
        <v>1411</v>
      </c>
      <c r="F687" t="s">
        <v>1356</v>
      </c>
      <c r="G687">
        <v>9177849739</v>
      </c>
    </row>
    <row r="688" spans="1:7" x14ac:dyDescent="0.3">
      <c r="A688" t="s">
        <v>2534</v>
      </c>
      <c r="B688" t="s">
        <v>2535</v>
      </c>
      <c r="C688">
        <v>36</v>
      </c>
      <c r="D688" t="s">
        <v>1336</v>
      </c>
      <c r="E688" t="s">
        <v>1337</v>
      </c>
      <c r="F688" t="s">
        <v>1338</v>
      </c>
      <c r="G688">
        <v>9381131083</v>
      </c>
    </row>
    <row r="689" spans="1:7" x14ac:dyDescent="0.3">
      <c r="A689" t="s">
        <v>2536</v>
      </c>
      <c r="B689" t="s">
        <v>2537</v>
      </c>
      <c r="C689">
        <v>46</v>
      </c>
      <c r="D689" t="s">
        <v>1336</v>
      </c>
      <c r="E689" t="s">
        <v>1411</v>
      </c>
      <c r="F689" t="s">
        <v>1356</v>
      </c>
      <c r="G689">
        <v>9535111463</v>
      </c>
    </row>
    <row r="690" spans="1:7" x14ac:dyDescent="0.3">
      <c r="A690" t="s">
        <v>2538</v>
      </c>
      <c r="B690" t="s">
        <v>2539</v>
      </c>
      <c r="C690">
        <v>25</v>
      </c>
      <c r="D690" t="s">
        <v>1336</v>
      </c>
      <c r="E690" t="s">
        <v>1383</v>
      </c>
      <c r="F690" t="s">
        <v>1338</v>
      </c>
      <c r="G690">
        <v>6848270530</v>
      </c>
    </row>
    <row r="691" spans="1:7" x14ac:dyDescent="0.3">
      <c r="A691" t="s">
        <v>1248</v>
      </c>
      <c r="B691" t="s">
        <v>2540</v>
      </c>
      <c r="C691">
        <v>28</v>
      </c>
      <c r="D691" t="s">
        <v>1336</v>
      </c>
      <c r="E691" t="s">
        <v>1374</v>
      </c>
      <c r="F691" t="s">
        <v>1348</v>
      </c>
      <c r="G691">
        <v>6666137930</v>
      </c>
    </row>
    <row r="692" spans="1:7" x14ac:dyDescent="0.3">
      <c r="A692" t="s">
        <v>2541</v>
      </c>
      <c r="B692" t="s">
        <v>2542</v>
      </c>
      <c r="C692">
        <v>28</v>
      </c>
      <c r="D692" t="s">
        <v>1336</v>
      </c>
      <c r="E692" t="s">
        <v>1649</v>
      </c>
      <c r="F692" t="s">
        <v>1391</v>
      </c>
      <c r="G692">
        <v>9984496323</v>
      </c>
    </row>
    <row r="693" spans="1:7" x14ac:dyDescent="0.3">
      <c r="A693" t="s">
        <v>2543</v>
      </c>
      <c r="B693" t="s">
        <v>2544</v>
      </c>
      <c r="C693">
        <v>64</v>
      </c>
      <c r="D693" t="s">
        <v>1336</v>
      </c>
      <c r="E693" t="s">
        <v>1770</v>
      </c>
      <c r="F693" t="s">
        <v>1400</v>
      </c>
      <c r="G693">
        <v>9771194845</v>
      </c>
    </row>
    <row r="694" spans="1:7" x14ac:dyDescent="0.3">
      <c r="A694" t="s">
        <v>2545</v>
      </c>
      <c r="B694" t="s">
        <v>2546</v>
      </c>
      <c r="C694">
        <v>20</v>
      </c>
      <c r="D694" t="s">
        <v>1328</v>
      </c>
      <c r="E694" t="s">
        <v>1367</v>
      </c>
      <c r="F694" t="s">
        <v>1368</v>
      </c>
      <c r="G694">
        <v>9892599022</v>
      </c>
    </row>
    <row r="695" spans="1:7" x14ac:dyDescent="0.3">
      <c r="A695" t="s">
        <v>2547</v>
      </c>
      <c r="B695" t="s">
        <v>2548</v>
      </c>
      <c r="C695">
        <v>23</v>
      </c>
      <c r="D695" t="s">
        <v>1336</v>
      </c>
      <c r="E695" t="s">
        <v>1556</v>
      </c>
      <c r="F695" t="s">
        <v>1333</v>
      </c>
      <c r="G695">
        <v>7043531499</v>
      </c>
    </row>
    <row r="696" spans="1:7" x14ac:dyDescent="0.3">
      <c r="A696" t="s">
        <v>2549</v>
      </c>
      <c r="B696" t="s">
        <v>2550</v>
      </c>
      <c r="C696">
        <v>27</v>
      </c>
      <c r="D696" t="s">
        <v>1328</v>
      </c>
      <c r="E696" t="s">
        <v>1498</v>
      </c>
      <c r="F696" t="s">
        <v>1362</v>
      </c>
      <c r="G696">
        <v>9843104456</v>
      </c>
    </row>
    <row r="697" spans="1:7" x14ac:dyDescent="0.3">
      <c r="A697" t="s">
        <v>2551</v>
      </c>
      <c r="B697" t="s">
        <v>2552</v>
      </c>
      <c r="C697">
        <v>48</v>
      </c>
      <c r="D697" t="s">
        <v>1328</v>
      </c>
      <c r="E697" t="s">
        <v>1498</v>
      </c>
      <c r="F697" t="s">
        <v>1362</v>
      </c>
      <c r="G697">
        <v>9604582507</v>
      </c>
    </row>
    <row r="698" spans="1:7" x14ac:dyDescent="0.3">
      <c r="A698" t="s">
        <v>2553</v>
      </c>
      <c r="B698" t="s">
        <v>2554</v>
      </c>
      <c r="C698">
        <v>50</v>
      </c>
      <c r="D698" t="s">
        <v>1328</v>
      </c>
      <c r="E698" t="s">
        <v>1377</v>
      </c>
      <c r="F698" t="s">
        <v>1368</v>
      </c>
      <c r="G698">
        <v>6520368461</v>
      </c>
    </row>
    <row r="699" spans="1:7" x14ac:dyDescent="0.3">
      <c r="A699" t="s">
        <v>2555</v>
      </c>
      <c r="B699" t="s">
        <v>2556</v>
      </c>
      <c r="C699">
        <v>18</v>
      </c>
      <c r="D699" t="s">
        <v>1336</v>
      </c>
      <c r="E699" t="s">
        <v>1399</v>
      </c>
      <c r="F699" t="s">
        <v>1400</v>
      </c>
      <c r="G699">
        <v>8041581748</v>
      </c>
    </row>
    <row r="700" spans="1:7" x14ac:dyDescent="0.3">
      <c r="A700" t="s">
        <v>1022</v>
      </c>
      <c r="B700" t="s">
        <v>2557</v>
      </c>
      <c r="C700">
        <v>22</v>
      </c>
      <c r="D700" t="s">
        <v>1336</v>
      </c>
      <c r="E700" t="s">
        <v>1347</v>
      </c>
      <c r="F700" t="s">
        <v>1348</v>
      </c>
      <c r="G700">
        <v>6743720456</v>
      </c>
    </row>
    <row r="701" spans="1:7" x14ac:dyDescent="0.3">
      <c r="A701" t="s">
        <v>2558</v>
      </c>
      <c r="B701" t="s">
        <v>2559</v>
      </c>
      <c r="C701">
        <v>22</v>
      </c>
      <c r="D701" t="s">
        <v>1328</v>
      </c>
      <c r="E701" t="s">
        <v>1451</v>
      </c>
      <c r="F701" t="s">
        <v>1445</v>
      </c>
      <c r="G701">
        <v>8016947911</v>
      </c>
    </row>
    <row r="702" spans="1:7" x14ac:dyDescent="0.3">
      <c r="A702" t="s">
        <v>1230</v>
      </c>
      <c r="B702" t="s">
        <v>2560</v>
      </c>
      <c r="C702">
        <v>32</v>
      </c>
      <c r="D702" t="s">
        <v>1328</v>
      </c>
      <c r="E702" t="s">
        <v>1441</v>
      </c>
      <c r="F702" t="s">
        <v>1394</v>
      </c>
      <c r="G702">
        <v>7653352302</v>
      </c>
    </row>
    <row r="703" spans="1:7" x14ac:dyDescent="0.3">
      <c r="A703" t="s">
        <v>2561</v>
      </c>
      <c r="B703" t="s">
        <v>2562</v>
      </c>
      <c r="C703">
        <v>60</v>
      </c>
      <c r="D703" t="s">
        <v>1328</v>
      </c>
      <c r="E703" t="s">
        <v>1383</v>
      </c>
      <c r="F703" t="s">
        <v>1338</v>
      </c>
      <c r="G703">
        <v>8633579810</v>
      </c>
    </row>
    <row r="704" spans="1:7" x14ac:dyDescent="0.3">
      <c r="A704" t="s">
        <v>2563</v>
      </c>
      <c r="B704" t="s">
        <v>2564</v>
      </c>
      <c r="C704">
        <v>51</v>
      </c>
      <c r="D704" t="s">
        <v>1336</v>
      </c>
      <c r="E704" t="s">
        <v>1478</v>
      </c>
      <c r="F704" t="s">
        <v>1391</v>
      </c>
      <c r="G704">
        <v>6646806065</v>
      </c>
    </row>
    <row r="705" spans="1:7" x14ac:dyDescent="0.3">
      <c r="A705" t="s">
        <v>2565</v>
      </c>
      <c r="B705" t="s">
        <v>2566</v>
      </c>
      <c r="C705">
        <v>42</v>
      </c>
      <c r="D705" t="s">
        <v>1328</v>
      </c>
      <c r="E705" t="s">
        <v>1832</v>
      </c>
      <c r="F705" t="s">
        <v>1368</v>
      </c>
      <c r="G705">
        <v>8622272390</v>
      </c>
    </row>
    <row r="706" spans="1:7" x14ac:dyDescent="0.3">
      <c r="A706" t="s">
        <v>2567</v>
      </c>
      <c r="B706" t="s">
        <v>2568</v>
      </c>
      <c r="C706">
        <v>48</v>
      </c>
      <c r="D706" t="s">
        <v>1336</v>
      </c>
      <c r="E706" t="s">
        <v>1475</v>
      </c>
      <c r="F706" t="s">
        <v>1419</v>
      </c>
      <c r="G706">
        <v>8472355649</v>
      </c>
    </row>
    <row r="707" spans="1:7" x14ac:dyDescent="0.3">
      <c r="A707" t="s">
        <v>2569</v>
      </c>
      <c r="B707" t="s">
        <v>2570</v>
      </c>
      <c r="C707">
        <v>26</v>
      </c>
      <c r="D707" t="s">
        <v>1336</v>
      </c>
      <c r="E707" t="s">
        <v>1408</v>
      </c>
      <c r="F707" t="s">
        <v>1409</v>
      </c>
      <c r="G707">
        <v>6669512408</v>
      </c>
    </row>
    <row r="708" spans="1:7" x14ac:dyDescent="0.3">
      <c r="A708" t="s">
        <v>2571</v>
      </c>
      <c r="B708" t="s">
        <v>2572</v>
      </c>
      <c r="C708">
        <v>59</v>
      </c>
      <c r="D708" t="s">
        <v>1336</v>
      </c>
      <c r="E708" t="s">
        <v>1451</v>
      </c>
      <c r="F708" t="s">
        <v>1445</v>
      </c>
      <c r="G708">
        <v>9264795038</v>
      </c>
    </row>
    <row r="709" spans="1:7" x14ac:dyDescent="0.3">
      <c r="A709" t="s">
        <v>2573</v>
      </c>
      <c r="B709" t="s">
        <v>2574</v>
      </c>
      <c r="C709">
        <v>43</v>
      </c>
      <c r="D709" t="s">
        <v>1328</v>
      </c>
      <c r="E709" t="s">
        <v>1441</v>
      </c>
      <c r="F709" t="s">
        <v>1394</v>
      </c>
      <c r="G709">
        <v>9350236897</v>
      </c>
    </row>
    <row r="710" spans="1:7" x14ac:dyDescent="0.3">
      <c r="A710" t="s">
        <v>811</v>
      </c>
      <c r="B710" t="s">
        <v>2575</v>
      </c>
      <c r="C710">
        <v>20</v>
      </c>
      <c r="D710" t="s">
        <v>1328</v>
      </c>
      <c r="E710" t="s">
        <v>1594</v>
      </c>
      <c r="F710" t="s">
        <v>1445</v>
      </c>
      <c r="G710">
        <v>8303280580</v>
      </c>
    </row>
    <row r="711" spans="1:7" x14ac:dyDescent="0.3">
      <c r="A711" t="s">
        <v>1058</v>
      </c>
      <c r="B711" t="s">
        <v>2576</v>
      </c>
      <c r="C711">
        <v>19</v>
      </c>
      <c r="D711" t="s">
        <v>1336</v>
      </c>
      <c r="E711" t="s">
        <v>1397</v>
      </c>
      <c r="F711" t="s">
        <v>1333</v>
      </c>
      <c r="G711">
        <v>7040429262</v>
      </c>
    </row>
    <row r="712" spans="1:7" x14ac:dyDescent="0.3">
      <c r="A712" t="s">
        <v>2577</v>
      </c>
      <c r="B712" t="s">
        <v>2578</v>
      </c>
      <c r="C712">
        <v>59</v>
      </c>
      <c r="D712" t="s">
        <v>1336</v>
      </c>
      <c r="E712" t="s">
        <v>1425</v>
      </c>
      <c r="F712" t="s">
        <v>1409</v>
      </c>
      <c r="G712">
        <v>9184925537</v>
      </c>
    </row>
    <row r="713" spans="1:7" x14ac:dyDescent="0.3">
      <c r="A713" t="s">
        <v>2579</v>
      </c>
      <c r="B713" t="s">
        <v>2580</v>
      </c>
      <c r="C713">
        <v>52</v>
      </c>
      <c r="D713" t="s">
        <v>1336</v>
      </c>
      <c r="E713" t="s">
        <v>1517</v>
      </c>
      <c r="F713" t="s">
        <v>1362</v>
      </c>
      <c r="G713">
        <v>9426053961</v>
      </c>
    </row>
    <row r="714" spans="1:7" x14ac:dyDescent="0.3">
      <c r="A714" t="s">
        <v>2581</v>
      </c>
      <c r="B714" t="s">
        <v>2582</v>
      </c>
      <c r="C714">
        <v>29</v>
      </c>
      <c r="D714" t="s">
        <v>1328</v>
      </c>
      <c r="E714" t="s">
        <v>1466</v>
      </c>
      <c r="F714" t="s">
        <v>1338</v>
      </c>
      <c r="G714">
        <v>8209667374</v>
      </c>
    </row>
    <row r="715" spans="1:7" x14ac:dyDescent="0.3">
      <c r="A715" t="s">
        <v>1204</v>
      </c>
      <c r="B715" t="s">
        <v>2583</v>
      </c>
      <c r="C715">
        <v>25</v>
      </c>
      <c r="D715" t="s">
        <v>1336</v>
      </c>
      <c r="E715" t="s">
        <v>1563</v>
      </c>
      <c r="F715" t="s">
        <v>1356</v>
      </c>
      <c r="G715">
        <v>9044981201</v>
      </c>
    </row>
    <row r="716" spans="1:7" x14ac:dyDescent="0.3">
      <c r="A716" t="s">
        <v>137</v>
      </c>
      <c r="B716" t="s">
        <v>2584</v>
      </c>
      <c r="C716">
        <v>39</v>
      </c>
      <c r="D716" t="s">
        <v>1336</v>
      </c>
      <c r="E716" t="s">
        <v>1475</v>
      </c>
      <c r="F716" t="s">
        <v>1419</v>
      </c>
      <c r="G716">
        <v>9495062506</v>
      </c>
    </row>
    <row r="717" spans="1:7" x14ac:dyDescent="0.3">
      <c r="A717" t="s">
        <v>2585</v>
      </c>
      <c r="B717" t="s">
        <v>2586</v>
      </c>
      <c r="C717">
        <v>27</v>
      </c>
      <c r="D717" t="s">
        <v>1336</v>
      </c>
      <c r="E717" t="s">
        <v>1591</v>
      </c>
      <c r="F717" t="s">
        <v>1352</v>
      </c>
      <c r="G717">
        <v>6133602531</v>
      </c>
    </row>
    <row r="718" spans="1:7" x14ac:dyDescent="0.3">
      <c r="A718" t="s">
        <v>2587</v>
      </c>
      <c r="B718" t="s">
        <v>2588</v>
      </c>
      <c r="C718">
        <v>51</v>
      </c>
      <c r="D718" t="s">
        <v>1336</v>
      </c>
      <c r="E718" t="s">
        <v>1438</v>
      </c>
      <c r="F718" t="s">
        <v>1419</v>
      </c>
      <c r="G718">
        <v>8028092689</v>
      </c>
    </row>
    <row r="719" spans="1:7" x14ac:dyDescent="0.3">
      <c r="A719" t="s">
        <v>2589</v>
      </c>
      <c r="B719" t="s">
        <v>2590</v>
      </c>
      <c r="C719">
        <v>22</v>
      </c>
      <c r="D719" t="s">
        <v>1328</v>
      </c>
      <c r="E719" t="s">
        <v>1351</v>
      </c>
      <c r="F719" t="s">
        <v>1352</v>
      </c>
      <c r="G719">
        <v>8250255123</v>
      </c>
    </row>
    <row r="720" spans="1:7" x14ac:dyDescent="0.3">
      <c r="A720" t="s">
        <v>2591</v>
      </c>
      <c r="B720" t="s">
        <v>2592</v>
      </c>
      <c r="C720">
        <v>39</v>
      </c>
      <c r="D720" t="s">
        <v>1336</v>
      </c>
      <c r="E720" t="s">
        <v>1361</v>
      </c>
      <c r="F720" t="s">
        <v>1362</v>
      </c>
      <c r="G720">
        <v>9540155402</v>
      </c>
    </row>
    <row r="721" spans="1:7" x14ac:dyDescent="0.3">
      <c r="A721" t="s">
        <v>2593</v>
      </c>
      <c r="B721" t="s">
        <v>2594</v>
      </c>
      <c r="C721">
        <v>60</v>
      </c>
      <c r="D721" t="s">
        <v>1336</v>
      </c>
      <c r="E721" t="s">
        <v>1383</v>
      </c>
      <c r="F721" t="s">
        <v>1338</v>
      </c>
      <c r="G721">
        <v>9279231656</v>
      </c>
    </row>
    <row r="722" spans="1:7" x14ac:dyDescent="0.3">
      <c r="A722" t="s">
        <v>682</v>
      </c>
      <c r="B722" t="s">
        <v>2595</v>
      </c>
      <c r="C722">
        <v>63</v>
      </c>
      <c r="D722" t="s">
        <v>1336</v>
      </c>
      <c r="E722" t="s">
        <v>1399</v>
      </c>
      <c r="F722" t="s">
        <v>1400</v>
      </c>
      <c r="G722">
        <v>9999967205</v>
      </c>
    </row>
    <row r="723" spans="1:7" x14ac:dyDescent="0.3">
      <c r="A723" t="s">
        <v>2596</v>
      </c>
      <c r="B723" t="s">
        <v>2597</v>
      </c>
      <c r="C723">
        <v>26</v>
      </c>
      <c r="D723" t="s">
        <v>1328</v>
      </c>
      <c r="E723" t="s">
        <v>1403</v>
      </c>
      <c r="F723" t="s">
        <v>1362</v>
      </c>
      <c r="G723">
        <v>8430232933</v>
      </c>
    </row>
    <row r="724" spans="1:7" x14ac:dyDescent="0.3">
      <c r="A724" t="s">
        <v>2598</v>
      </c>
      <c r="B724" t="s">
        <v>2599</v>
      </c>
      <c r="C724">
        <v>29</v>
      </c>
      <c r="D724" t="s">
        <v>1328</v>
      </c>
      <c r="E724" t="s">
        <v>1444</v>
      </c>
      <c r="F724" t="s">
        <v>1445</v>
      </c>
      <c r="G724">
        <v>9065256885</v>
      </c>
    </row>
    <row r="725" spans="1:7" x14ac:dyDescent="0.3">
      <c r="A725" t="s">
        <v>2600</v>
      </c>
      <c r="B725" t="s">
        <v>2601</v>
      </c>
      <c r="C725">
        <v>48</v>
      </c>
      <c r="D725" t="s">
        <v>1336</v>
      </c>
      <c r="E725" t="s">
        <v>1542</v>
      </c>
      <c r="F725" t="s">
        <v>1409</v>
      </c>
      <c r="G725">
        <v>6557401711</v>
      </c>
    </row>
    <row r="726" spans="1:7" x14ac:dyDescent="0.3">
      <c r="A726" t="s">
        <v>634</v>
      </c>
      <c r="B726" t="s">
        <v>2602</v>
      </c>
      <c r="C726">
        <v>52</v>
      </c>
      <c r="D726" t="s">
        <v>1336</v>
      </c>
      <c r="E726" t="s">
        <v>1845</v>
      </c>
      <c r="F726" t="s">
        <v>1330</v>
      </c>
      <c r="G726">
        <v>9440446655</v>
      </c>
    </row>
    <row r="727" spans="1:7" x14ac:dyDescent="0.3">
      <c r="A727" t="s">
        <v>1092</v>
      </c>
      <c r="B727" t="s">
        <v>2603</v>
      </c>
      <c r="C727">
        <v>63</v>
      </c>
      <c r="D727" t="s">
        <v>1328</v>
      </c>
      <c r="E727" t="s">
        <v>1438</v>
      </c>
      <c r="F727" t="s">
        <v>1419</v>
      </c>
      <c r="G727">
        <v>9802156507</v>
      </c>
    </row>
    <row r="728" spans="1:7" x14ac:dyDescent="0.3">
      <c r="A728" t="s">
        <v>525</v>
      </c>
      <c r="B728" t="s">
        <v>2604</v>
      </c>
      <c r="C728">
        <v>64</v>
      </c>
      <c r="D728" t="s">
        <v>1328</v>
      </c>
      <c r="E728" t="s">
        <v>1649</v>
      </c>
      <c r="F728" t="s">
        <v>1391</v>
      </c>
      <c r="G728">
        <v>8752449325</v>
      </c>
    </row>
    <row r="729" spans="1:7" x14ac:dyDescent="0.3">
      <c r="A729" t="s">
        <v>2605</v>
      </c>
      <c r="B729" t="s">
        <v>2606</v>
      </c>
      <c r="C729">
        <v>31</v>
      </c>
      <c r="D729" t="s">
        <v>1328</v>
      </c>
      <c r="E729" t="s">
        <v>1461</v>
      </c>
      <c r="F729" t="s">
        <v>1445</v>
      </c>
      <c r="G729">
        <v>9371742563</v>
      </c>
    </row>
    <row r="730" spans="1:7" x14ac:dyDescent="0.3">
      <c r="A730" t="s">
        <v>2607</v>
      </c>
      <c r="B730" t="s">
        <v>2608</v>
      </c>
      <c r="C730">
        <v>24</v>
      </c>
      <c r="D730" t="s">
        <v>1336</v>
      </c>
      <c r="E730" t="s">
        <v>1397</v>
      </c>
      <c r="F730" t="s">
        <v>1333</v>
      </c>
      <c r="G730">
        <v>8765417579</v>
      </c>
    </row>
    <row r="731" spans="1:7" x14ac:dyDescent="0.3">
      <c r="A731" t="s">
        <v>2609</v>
      </c>
      <c r="B731" t="s">
        <v>2610</v>
      </c>
      <c r="C731">
        <v>55</v>
      </c>
      <c r="D731" t="s">
        <v>1328</v>
      </c>
      <c r="E731" t="s">
        <v>1504</v>
      </c>
      <c r="F731" t="s">
        <v>1394</v>
      </c>
      <c r="G731">
        <v>6286739828</v>
      </c>
    </row>
    <row r="732" spans="1:7" x14ac:dyDescent="0.3">
      <c r="A732" t="s">
        <v>952</v>
      </c>
      <c r="B732" t="s">
        <v>2611</v>
      </c>
      <c r="C732">
        <v>23</v>
      </c>
      <c r="D732" t="s">
        <v>1328</v>
      </c>
      <c r="E732" t="s">
        <v>1542</v>
      </c>
      <c r="F732" t="s">
        <v>1409</v>
      </c>
      <c r="G732">
        <v>7433643355</v>
      </c>
    </row>
    <row r="733" spans="1:7" x14ac:dyDescent="0.3">
      <c r="A733" t="s">
        <v>1194</v>
      </c>
      <c r="B733" t="s">
        <v>2612</v>
      </c>
      <c r="C733">
        <v>38</v>
      </c>
      <c r="D733" t="s">
        <v>1328</v>
      </c>
      <c r="E733" t="s">
        <v>1390</v>
      </c>
      <c r="F733" t="s">
        <v>1391</v>
      </c>
      <c r="G733">
        <v>9975473354</v>
      </c>
    </row>
    <row r="734" spans="1:7" x14ac:dyDescent="0.3">
      <c r="A734" t="s">
        <v>932</v>
      </c>
      <c r="B734" t="s">
        <v>2613</v>
      </c>
      <c r="C734">
        <v>41</v>
      </c>
      <c r="D734" t="s">
        <v>1336</v>
      </c>
      <c r="E734" t="s">
        <v>1456</v>
      </c>
      <c r="F734" t="s">
        <v>1394</v>
      </c>
      <c r="G734">
        <v>9993519986</v>
      </c>
    </row>
    <row r="735" spans="1:7" x14ac:dyDescent="0.3">
      <c r="A735" t="s">
        <v>2614</v>
      </c>
      <c r="B735" t="s">
        <v>2615</v>
      </c>
      <c r="C735">
        <v>20</v>
      </c>
      <c r="D735" t="s">
        <v>1328</v>
      </c>
      <c r="E735" t="s">
        <v>1413</v>
      </c>
      <c r="F735" t="s">
        <v>1348</v>
      </c>
      <c r="G735">
        <v>8525710249</v>
      </c>
    </row>
    <row r="736" spans="1:7" x14ac:dyDescent="0.3">
      <c r="A736" t="s">
        <v>2616</v>
      </c>
      <c r="B736" t="s">
        <v>2617</v>
      </c>
      <c r="C736">
        <v>57</v>
      </c>
      <c r="D736" t="s">
        <v>1328</v>
      </c>
      <c r="E736" t="s">
        <v>1466</v>
      </c>
      <c r="F736" t="s">
        <v>1338</v>
      </c>
      <c r="G736">
        <v>9273715282</v>
      </c>
    </row>
    <row r="737" spans="1:7" x14ac:dyDescent="0.3">
      <c r="A737" t="s">
        <v>2618</v>
      </c>
      <c r="B737" t="s">
        <v>2619</v>
      </c>
      <c r="C737">
        <v>64</v>
      </c>
      <c r="D737" t="s">
        <v>1328</v>
      </c>
      <c r="E737" t="s">
        <v>1355</v>
      </c>
      <c r="F737" t="s">
        <v>1356</v>
      </c>
      <c r="G737">
        <v>6234214947</v>
      </c>
    </row>
    <row r="738" spans="1:7" x14ac:dyDescent="0.3">
      <c r="A738" t="s">
        <v>2620</v>
      </c>
      <c r="B738" t="s">
        <v>2621</v>
      </c>
      <c r="C738">
        <v>61</v>
      </c>
      <c r="D738" t="s">
        <v>1336</v>
      </c>
      <c r="E738" t="s">
        <v>1832</v>
      </c>
      <c r="F738" t="s">
        <v>1368</v>
      </c>
      <c r="G738">
        <v>7108909303</v>
      </c>
    </row>
    <row r="739" spans="1:7" x14ac:dyDescent="0.3">
      <c r="A739" t="s">
        <v>221</v>
      </c>
      <c r="B739" t="s">
        <v>2622</v>
      </c>
      <c r="C739">
        <v>23</v>
      </c>
      <c r="D739" t="s">
        <v>1328</v>
      </c>
      <c r="E739" t="s">
        <v>1418</v>
      </c>
      <c r="F739" t="s">
        <v>1419</v>
      </c>
      <c r="G739">
        <v>9058446532</v>
      </c>
    </row>
    <row r="740" spans="1:7" x14ac:dyDescent="0.3">
      <c r="A740" t="s">
        <v>2623</v>
      </c>
      <c r="B740" t="s">
        <v>2624</v>
      </c>
      <c r="C740">
        <v>35</v>
      </c>
      <c r="D740" t="s">
        <v>1328</v>
      </c>
      <c r="E740" t="s">
        <v>1438</v>
      </c>
      <c r="F740" t="s">
        <v>1419</v>
      </c>
      <c r="G740">
        <v>9764613922</v>
      </c>
    </row>
    <row r="741" spans="1:7" x14ac:dyDescent="0.3">
      <c r="A741" t="s">
        <v>345</v>
      </c>
      <c r="B741" t="s">
        <v>2625</v>
      </c>
      <c r="C741">
        <v>55</v>
      </c>
      <c r="D741" t="s">
        <v>1328</v>
      </c>
      <c r="E741" t="s">
        <v>1332</v>
      </c>
      <c r="F741" t="s">
        <v>1333</v>
      </c>
      <c r="G741">
        <v>6194128575</v>
      </c>
    </row>
    <row r="742" spans="1:7" x14ac:dyDescent="0.3">
      <c r="A742" t="s">
        <v>2626</v>
      </c>
      <c r="B742" t="s">
        <v>2627</v>
      </c>
      <c r="C742">
        <v>54</v>
      </c>
      <c r="D742" t="s">
        <v>1336</v>
      </c>
      <c r="E742" t="s">
        <v>1466</v>
      </c>
      <c r="F742" t="s">
        <v>1338</v>
      </c>
      <c r="G742">
        <v>8601741052</v>
      </c>
    </row>
    <row r="743" spans="1:7" x14ac:dyDescent="0.3">
      <c r="A743" t="s">
        <v>2628</v>
      </c>
      <c r="B743" t="s">
        <v>2629</v>
      </c>
      <c r="C743">
        <v>49</v>
      </c>
      <c r="D743" t="s">
        <v>1336</v>
      </c>
      <c r="E743" t="s">
        <v>1478</v>
      </c>
      <c r="F743" t="s">
        <v>1391</v>
      </c>
      <c r="G743">
        <v>7317626003</v>
      </c>
    </row>
    <row r="744" spans="1:7" x14ac:dyDescent="0.3">
      <c r="A744" t="s">
        <v>2630</v>
      </c>
      <c r="B744" t="s">
        <v>2631</v>
      </c>
      <c r="C744">
        <v>45</v>
      </c>
      <c r="D744" t="s">
        <v>1336</v>
      </c>
      <c r="E744" t="s">
        <v>1361</v>
      </c>
      <c r="F744" t="s">
        <v>1362</v>
      </c>
      <c r="G744">
        <v>9259969053</v>
      </c>
    </row>
    <row r="745" spans="1:7" x14ac:dyDescent="0.3">
      <c r="A745" t="s">
        <v>2632</v>
      </c>
      <c r="B745" t="s">
        <v>2633</v>
      </c>
      <c r="C745">
        <v>43</v>
      </c>
      <c r="D745" t="s">
        <v>1336</v>
      </c>
      <c r="E745" t="s">
        <v>1563</v>
      </c>
      <c r="F745" t="s">
        <v>1356</v>
      </c>
      <c r="G745">
        <v>6206837548</v>
      </c>
    </row>
    <row r="746" spans="1:7" x14ac:dyDescent="0.3">
      <c r="A746" t="s">
        <v>672</v>
      </c>
      <c r="B746" t="s">
        <v>2634</v>
      </c>
      <c r="C746">
        <v>50</v>
      </c>
      <c r="D746" t="s">
        <v>1336</v>
      </c>
      <c r="E746" t="s">
        <v>1441</v>
      </c>
      <c r="F746" t="s">
        <v>1394</v>
      </c>
      <c r="G746">
        <v>7149194998</v>
      </c>
    </row>
    <row r="747" spans="1:7" x14ac:dyDescent="0.3">
      <c r="A747" t="s">
        <v>2635</v>
      </c>
      <c r="B747" t="s">
        <v>2636</v>
      </c>
      <c r="C747">
        <v>39</v>
      </c>
      <c r="D747" t="s">
        <v>1336</v>
      </c>
      <c r="E747" t="s">
        <v>1371</v>
      </c>
      <c r="F747" t="s">
        <v>1342</v>
      </c>
      <c r="G747">
        <v>7937244295</v>
      </c>
    </row>
    <row r="748" spans="1:7" x14ac:dyDescent="0.3">
      <c r="A748" t="s">
        <v>731</v>
      </c>
      <c r="B748" t="s">
        <v>2637</v>
      </c>
      <c r="C748">
        <v>46</v>
      </c>
      <c r="D748" t="s">
        <v>1328</v>
      </c>
      <c r="E748" t="s">
        <v>1591</v>
      </c>
      <c r="F748" t="s">
        <v>1352</v>
      </c>
      <c r="G748">
        <v>7311533836</v>
      </c>
    </row>
    <row r="749" spans="1:7" x14ac:dyDescent="0.3">
      <c r="A749" t="s">
        <v>2638</v>
      </c>
      <c r="B749" t="s">
        <v>2639</v>
      </c>
      <c r="C749">
        <v>60</v>
      </c>
      <c r="D749" t="s">
        <v>1336</v>
      </c>
      <c r="E749" t="s">
        <v>1351</v>
      </c>
      <c r="F749" t="s">
        <v>1352</v>
      </c>
      <c r="G749">
        <v>8884740598</v>
      </c>
    </row>
    <row r="750" spans="1:7" x14ac:dyDescent="0.3">
      <c r="A750" t="s">
        <v>545</v>
      </c>
      <c r="B750" t="s">
        <v>2640</v>
      </c>
      <c r="C750">
        <v>65</v>
      </c>
      <c r="D750" t="s">
        <v>1336</v>
      </c>
      <c r="E750" t="s">
        <v>1371</v>
      </c>
      <c r="F750" t="s">
        <v>1342</v>
      </c>
      <c r="G750">
        <v>9821917208</v>
      </c>
    </row>
    <row r="751" spans="1:7" x14ac:dyDescent="0.3">
      <c r="A751" t="s">
        <v>460</v>
      </c>
      <c r="B751" t="s">
        <v>2641</v>
      </c>
      <c r="C751">
        <v>32</v>
      </c>
      <c r="D751" t="s">
        <v>1328</v>
      </c>
      <c r="E751" t="s">
        <v>1475</v>
      </c>
      <c r="F751" t="s">
        <v>1419</v>
      </c>
      <c r="G751">
        <v>8984633290</v>
      </c>
    </row>
    <row r="752" spans="1:7" x14ac:dyDescent="0.3">
      <c r="A752" t="s">
        <v>2642</v>
      </c>
      <c r="B752" t="s">
        <v>2643</v>
      </c>
      <c r="C752">
        <v>47</v>
      </c>
      <c r="D752" t="s">
        <v>1336</v>
      </c>
      <c r="E752" t="s">
        <v>1411</v>
      </c>
      <c r="F752" t="s">
        <v>1356</v>
      </c>
      <c r="G752">
        <v>9633006806</v>
      </c>
    </row>
    <row r="753" spans="1:7" x14ac:dyDescent="0.3">
      <c r="A753" t="s">
        <v>642</v>
      </c>
      <c r="B753" t="s">
        <v>2644</v>
      </c>
      <c r="C753">
        <v>63</v>
      </c>
      <c r="D753" t="s">
        <v>1336</v>
      </c>
      <c r="E753" t="s">
        <v>1432</v>
      </c>
      <c r="F753" t="s">
        <v>1342</v>
      </c>
      <c r="G753">
        <v>9861569763</v>
      </c>
    </row>
    <row r="754" spans="1:7" x14ac:dyDescent="0.3">
      <c r="A754" t="s">
        <v>2645</v>
      </c>
      <c r="B754" t="s">
        <v>2646</v>
      </c>
      <c r="C754">
        <v>51</v>
      </c>
      <c r="D754" t="s">
        <v>1336</v>
      </c>
      <c r="E754" t="s">
        <v>1422</v>
      </c>
      <c r="F754" t="s">
        <v>1330</v>
      </c>
      <c r="G754">
        <v>8903718065</v>
      </c>
    </row>
    <row r="755" spans="1:7" x14ac:dyDescent="0.3">
      <c r="A755" t="s">
        <v>2647</v>
      </c>
      <c r="B755" t="s">
        <v>2648</v>
      </c>
      <c r="C755">
        <v>19</v>
      </c>
      <c r="D755" t="s">
        <v>1336</v>
      </c>
      <c r="E755" t="s">
        <v>1388</v>
      </c>
      <c r="F755" t="s">
        <v>1342</v>
      </c>
      <c r="G755">
        <v>9716270627</v>
      </c>
    </row>
    <row r="756" spans="1:7" x14ac:dyDescent="0.3">
      <c r="A756" t="s">
        <v>2649</v>
      </c>
      <c r="B756" t="s">
        <v>2650</v>
      </c>
      <c r="C756">
        <v>50</v>
      </c>
      <c r="D756" t="s">
        <v>1328</v>
      </c>
      <c r="E756" t="s">
        <v>1411</v>
      </c>
      <c r="F756" t="s">
        <v>1356</v>
      </c>
      <c r="G756">
        <v>9615301709</v>
      </c>
    </row>
    <row r="757" spans="1:7" x14ac:dyDescent="0.3">
      <c r="A757" t="s">
        <v>2651</v>
      </c>
      <c r="B757" t="s">
        <v>2652</v>
      </c>
      <c r="C757">
        <v>55</v>
      </c>
      <c r="D757" t="s">
        <v>1328</v>
      </c>
      <c r="E757" t="s">
        <v>1517</v>
      </c>
      <c r="F757" t="s">
        <v>1362</v>
      </c>
      <c r="G757">
        <v>8294262140</v>
      </c>
    </row>
    <row r="758" spans="1:7" x14ac:dyDescent="0.3">
      <c r="A758" t="s">
        <v>2653</v>
      </c>
      <c r="B758" t="s">
        <v>2654</v>
      </c>
      <c r="C758">
        <v>42</v>
      </c>
      <c r="D758" t="s">
        <v>1328</v>
      </c>
      <c r="E758" t="s">
        <v>1425</v>
      </c>
      <c r="F758" t="s">
        <v>1409</v>
      </c>
      <c r="G758">
        <v>9492529141</v>
      </c>
    </row>
    <row r="759" spans="1:7" x14ac:dyDescent="0.3">
      <c r="A759" t="s">
        <v>2655</v>
      </c>
      <c r="B759" t="s">
        <v>2656</v>
      </c>
      <c r="C759">
        <v>54</v>
      </c>
      <c r="D759" t="s">
        <v>1336</v>
      </c>
      <c r="E759" t="s">
        <v>1463</v>
      </c>
      <c r="F759" t="s">
        <v>1391</v>
      </c>
      <c r="G759">
        <v>8576375848</v>
      </c>
    </row>
    <row r="760" spans="1:7" x14ac:dyDescent="0.3">
      <c r="A760" t="s">
        <v>2657</v>
      </c>
      <c r="B760" t="s">
        <v>2658</v>
      </c>
      <c r="C760">
        <v>49</v>
      </c>
      <c r="D760" t="s">
        <v>1328</v>
      </c>
      <c r="E760" t="s">
        <v>1422</v>
      </c>
      <c r="F760" t="s">
        <v>1330</v>
      </c>
      <c r="G760">
        <v>8280360673</v>
      </c>
    </row>
    <row r="761" spans="1:7" x14ac:dyDescent="0.3">
      <c r="A761" t="s">
        <v>2659</v>
      </c>
      <c r="B761" t="s">
        <v>2660</v>
      </c>
      <c r="C761">
        <v>37</v>
      </c>
      <c r="D761" t="s">
        <v>1328</v>
      </c>
      <c r="E761" t="s">
        <v>1832</v>
      </c>
      <c r="F761" t="s">
        <v>1368</v>
      </c>
      <c r="G761">
        <v>9996610578</v>
      </c>
    </row>
    <row r="762" spans="1:7" x14ac:dyDescent="0.3">
      <c r="A762" t="s">
        <v>2661</v>
      </c>
      <c r="B762" t="s">
        <v>2662</v>
      </c>
      <c r="C762">
        <v>44</v>
      </c>
      <c r="D762" t="s">
        <v>1328</v>
      </c>
      <c r="E762" t="s">
        <v>1832</v>
      </c>
      <c r="F762" t="s">
        <v>1368</v>
      </c>
      <c r="G762">
        <v>9584190949</v>
      </c>
    </row>
    <row r="763" spans="1:7" x14ac:dyDescent="0.3">
      <c r="A763" t="s">
        <v>2663</v>
      </c>
      <c r="B763" t="s">
        <v>2664</v>
      </c>
      <c r="C763">
        <v>23</v>
      </c>
      <c r="D763" t="s">
        <v>1336</v>
      </c>
      <c r="E763" t="s">
        <v>1425</v>
      </c>
      <c r="F763" t="s">
        <v>1409</v>
      </c>
      <c r="G763">
        <v>9105524620</v>
      </c>
    </row>
    <row r="764" spans="1:7" x14ac:dyDescent="0.3">
      <c r="A764" t="s">
        <v>2665</v>
      </c>
      <c r="B764" t="s">
        <v>2666</v>
      </c>
      <c r="C764">
        <v>23</v>
      </c>
      <c r="D764" t="s">
        <v>1328</v>
      </c>
      <c r="E764" t="s">
        <v>1365</v>
      </c>
      <c r="F764" t="s">
        <v>1352</v>
      </c>
      <c r="G764">
        <v>7183407497</v>
      </c>
    </row>
    <row r="765" spans="1:7" x14ac:dyDescent="0.3">
      <c r="A765" t="s">
        <v>2667</v>
      </c>
      <c r="B765" t="s">
        <v>2668</v>
      </c>
      <c r="C765">
        <v>46</v>
      </c>
      <c r="D765" t="s">
        <v>1328</v>
      </c>
      <c r="E765" t="s">
        <v>1815</v>
      </c>
      <c r="F765" t="s">
        <v>1400</v>
      </c>
      <c r="G765">
        <v>6153658934</v>
      </c>
    </row>
    <row r="766" spans="1:7" x14ac:dyDescent="0.3">
      <c r="A766" t="s">
        <v>2669</v>
      </c>
      <c r="B766" t="s">
        <v>2670</v>
      </c>
      <c r="C766">
        <v>65</v>
      </c>
      <c r="D766" t="s">
        <v>1328</v>
      </c>
      <c r="E766" t="s">
        <v>1415</v>
      </c>
      <c r="F766" t="s">
        <v>1348</v>
      </c>
      <c r="G766">
        <v>8855281667</v>
      </c>
    </row>
    <row r="767" spans="1:7" x14ac:dyDescent="0.3">
      <c r="A767" t="s">
        <v>558</v>
      </c>
      <c r="B767" t="s">
        <v>2671</v>
      </c>
      <c r="C767">
        <v>37</v>
      </c>
      <c r="D767" t="s">
        <v>1328</v>
      </c>
      <c r="E767" t="s">
        <v>1381</v>
      </c>
      <c r="F767" t="s">
        <v>1352</v>
      </c>
      <c r="G767">
        <v>6756197706</v>
      </c>
    </row>
    <row r="768" spans="1:7" x14ac:dyDescent="0.3">
      <c r="A768" t="s">
        <v>2672</v>
      </c>
      <c r="B768" t="s">
        <v>2673</v>
      </c>
      <c r="C768">
        <v>39</v>
      </c>
      <c r="D768" t="s">
        <v>1336</v>
      </c>
      <c r="E768" t="s">
        <v>1498</v>
      </c>
      <c r="F768" t="s">
        <v>1362</v>
      </c>
      <c r="G768">
        <v>6478127570</v>
      </c>
    </row>
    <row r="769" spans="1:7" x14ac:dyDescent="0.3">
      <c r="A769" t="s">
        <v>2674</v>
      </c>
      <c r="B769" t="s">
        <v>2675</v>
      </c>
      <c r="C769">
        <v>27</v>
      </c>
      <c r="D769" t="s">
        <v>1336</v>
      </c>
      <c r="E769" t="s">
        <v>1383</v>
      </c>
      <c r="F769" t="s">
        <v>1338</v>
      </c>
      <c r="G769">
        <v>9852421361</v>
      </c>
    </row>
    <row r="770" spans="1:7" x14ac:dyDescent="0.3">
      <c r="A770" t="s">
        <v>1010</v>
      </c>
      <c r="B770" t="s">
        <v>2676</v>
      </c>
      <c r="C770">
        <v>57</v>
      </c>
      <c r="D770" t="s">
        <v>1336</v>
      </c>
      <c r="E770" t="s">
        <v>1365</v>
      </c>
      <c r="F770" t="s">
        <v>1352</v>
      </c>
      <c r="G770">
        <v>9205440976</v>
      </c>
    </row>
    <row r="771" spans="1:7" x14ac:dyDescent="0.3">
      <c r="A771" t="s">
        <v>2677</v>
      </c>
      <c r="B771" t="s">
        <v>2678</v>
      </c>
      <c r="C771">
        <v>24</v>
      </c>
      <c r="D771" t="s">
        <v>1328</v>
      </c>
      <c r="E771" t="s">
        <v>1466</v>
      </c>
      <c r="F771" t="s">
        <v>1338</v>
      </c>
      <c r="G771">
        <v>7403784780</v>
      </c>
    </row>
    <row r="772" spans="1:7" x14ac:dyDescent="0.3">
      <c r="A772" t="s">
        <v>2679</v>
      </c>
      <c r="B772" t="s">
        <v>2680</v>
      </c>
      <c r="C772">
        <v>29</v>
      </c>
      <c r="D772" t="s">
        <v>1336</v>
      </c>
      <c r="E772" t="s">
        <v>1511</v>
      </c>
      <c r="F772" t="s">
        <v>1419</v>
      </c>
      <c r="G772">
        <v>7914484897</v>
      </c>
    </row>
    <row r="773" spans="1:7" x14ac:dyDescent="0.3">
      <c r="A773" t="s">
        <v>2681</v>
      </c>
      <c r="B773" t="s">
        <v>2682</v>
      </c>
      <c r="C773">
        <v>18</v>
      </c>
      <c r="D773" t="s">
        <v>1336</v>
      </c>
      <c r="E773" t="s">
        <v>1456</v>
      </c>
      <c r="F773" t="s">
        <v>1394</v>
      </c>
      <c r="G773">
        <v>8000460690</v>
      </c>
    </row>
    <row r="774" spans="1:7" x14ac:dyDescent="0.3">
      <c r="A774" t="s">
        <v>519</v>
      </c>
      <c r="B774" t="s">
        <v>2683</v>
      </c>
      <c r="C774">
        <v>59</v>
      </c>
      <c r="D774" t="s">
        <v>1336</v>
      </c>
      <c r="E774" t="s">
        <v>1649</v>
      </c>
      <c r="F774" t="s">
        <v>1391</v>
      </c>
      <c r="G774">
        <v>8799263064</v>
      </c>
    </row>
    <row r="775" spans="1:7" x14ac:dyDescent="0.3">
      <c r="A775" t="s">
        <v>2684</v>
      </c>
      <c r="B775" t="s">
        <v>2685</v>
      </c>
      <c r="C775">
        <v>32</v>
      </c>
      <c r="D775" t="s">
        <v>1328</v>
      </c>
      <c r="E775" t="s">
        <v>1594</v>
      </c>
      <c r="F775" t="s">
        <v>1445</v>
      </c>
      <c r="G775">
        <v>9968865421</v>
      </c>
    </row>
    <row r="776" spans="1:7" x14ac:dyDescent="0.3">
      <c r="A776" t="s">
        <v>2686</v>
      </c>
      <c r="B776" t="s">
        <v>2687</v>
      </c>
      <c r="C776">
        <v>52</v>
      </c>
      <c r="D776" t="s">
        <v>1336</v>
      </c>
      <c r="E776" t="s">
        <v>1713</v>
      </c>
      <c r="F776" t="s">
        <v>1409</v>
      </c>
      <c r="G776">
        <v>7285606048</v>
      </c>
    </row>
    <row r="777" spans="1:7" x14ac:dyDescent="0.3">
      <c r="A777" t="s">
        <v>2688</v>
      </c>
      <c r="B777" t="s">
        <v>2689</v>
      </c>
      <c r="C777">
        <v>63</v>
      </c>
      <c r="D777" t="s">
        <v>1328</v>
      </c>
      <c r="E777" t="s">
        <v>1371</v>
      </c>
      <c r="F777" t="s">
        <v>1342</v>
      </c>
      <c r="G777">
        <v>6909474492</v>
      </c>
    </row>
    <row r="778" spans="1:7" x14ac:dyDescent="0.3">
      <c r="A778" t="s">
        <v>135</v>
      </c>
      <c r="B778" t="s">
        <v>2690</v>
      </c>
      <c r="C778">
        <v>64</v>
      </c>
      <c r="D778" t="s">
        <v>1328</v>
      </c>
      <c r="E778" t="s">
        <v>1383</v>
      </c>
      <c r="F778" t="s">
        <v>1338</v>
      </c>
      <c r="G778">
        <v>8805670213</v>
      </c>
    </row>
    <row r="779" spans="1:7" x14ac:dyDescent="0.3">
      <c r="A779" t="s">
        <v>2691</v>
      </c>
      <c r="B779" t="s">
        <v>2692</v>
      </c>
      <c r="C779">
        <v>54</v>
      </c>
      <c r="D779" t="s">
        <v>1336</v>
      </c>
      <c r="E779" t="s">
        <v>1422</v>
      </c>
      <c r="F779" t="s">
        <v>1330</v>
      </c>
      <c r="G779">
        <v>6663313279</v>
      </c>
    </row>
    <row r="780" spans="1:7" x14ac:dyDescent="0.3">
      <c r="A780" t="s">
        <v>2693</v>
      </c>
      <c r="B780" t="s">
        <v>2694</v>
      </c>
      <c r="C780">
        <v>56</v>
      </c>
      <c r="D780" t="s">
        <v>1336</v>
      </c>
      <c r="E780" t="s">
        <v>1341</v>
      </c>
      <c r="F780" t="s">
        <v>1342</v>
      </c>
      <c r="G780">
        <v>8253416744</v>
      </c>
    </row>
    <row r="781" spans="1:7" x14ac:dyDescent="0.3">
      <c r="A781" t="s">
        <v>2695</v>
      </c>
      <c r="B781" t="s">
        <v>2696</v>
      </c>
      <c r="C781">
        <v>42</v>
      </c>
      <c r="D781" t="s">
        <v>1328</v>
      </c>
      <c r="E781" t="s">
        <v>1456</v>
      </c>
      <c r="F781" t="s">
        <v>1394</v>
      </c>
      <c r="G781">
        <v>8851121795</v>
      </c>
    </row>
    <row r="782" spans="1:7" x14ac:dyDescent="0.3">
      <c r="A782" t="s">
        <v>2697</v>
      </c>
      <c r="B782" t="s">
        <v>2698</v>
      </c>
      <c r="C782">
        <v>38</v>
      </c>
      <c r="D782" t="s">
        <v>1336</v>
      </c>
      <c r="E782" t="s">
        <v>1451</v>
      </c>
      <c r="F782" t="s">
        <v>1445</v>
      </c>
      <c r="G782">
        <v>9245537387</v>
      </c>
    </row>
    <row r="783" spans="1:7" x14ac:dyDescent="0.3">
      <c r="A783" t="s">
        <v>265</v>
      </c>
      <c r="B783" t="s">
        <v>2699</v>
      </c>
      <c r="C783">
        <v>39</v>
      </c>
      <c r="D783" t="s">
        <v>1328</v>
      </c>
      <c r="E783" t="s">
        <v>1594</v>
      </c>
      <c r="F783" t="s">
        <v>1445</v>
      </c>
      <c r="G783">
        <v>7963783499</v>
      </c>
    </row>
    <row r="784" spans="1:7" x14ac:dyDescent="0.3">
      <c r="A784" t="s">
        <v>2700</v>
      </c>
      <c r="B784" t="s">
        <v>2701</v>
      </c>
      <c r="C784">
        <v>51</v>
      </c>
      <c r="D784" t="s">
        <v>1328</v>
      </c>
      <c r="E784" t="s">
        <v>1397</v>
      </c>
      <c r="F784" t="s">
        <v>1333</v>
      </c>
      <c r="G784">
        <v>8731808639</v>
      </c>
    </row>
    <row r="785" spans="1:7" x14ac:dyDescent="0.3">
      <c r="A785" t="s">
        <v>2702</v>
      </c>
      <c r="B785" t="s">
        <v>2703</v>
      </c>
      <c r="C785">
        <v>60</v>
      </c>
      <c r="D785" t="s">
        <v>1336</v>
      </c>
      <c r="E785" t="s">
        <v>1393</v>
      </c>
      <c r="F785" t="s">
        <v>1394</v>
      </c>
      <c r="G785">
        <v>9599004344</v>
      </c>
    </row>
    <row r="786" spans="1:7" x14ac:dyDescent="0.3">
      <c r="A786" t="s">
        <v>1090</v>
      </c>
      <c r="B786" t="s">
        <v>2704</v>
      </c>
      <c r="C786">
        <v>40</v>
      </c>
      <c r="D786" t="s">
        <v>1328</v>
      </c>
      <c r="E786" t="s">
        <v>1358</v>
      </c>
      <c r="F786" t="s">
        <v>1356</v>
      </c>
      <c r="G786">
        <v>6473772917</v>
      </c>
    </row>
    <row r="787" spans="1:7" x14ac:dyDescent="0.3">
      <c r="A787" t="s">
        <v>2705</v>
      </c>
      <c r="B787" t="s">
        <v>2706</v>
      </c>
      <c r="C787">
        <v>44</v>
      </c>
      <c r="D787" t="s">
        <v>1328</v>
      </c>
      <c r="E787" t="s">
        <v>1475</v>
      </c>
      <c r="F787" t="s">
        <v>1419</v>
      </c>
      <c r="G787">
        <v>8616156312</v>
      </c>
    </row>
    <row r="788" spans="1:7" x14ac:dyDescent="0.3">
      <c r="A788" t="s">
        <v>2707</v>
      </c>
      <c r="B788" t="s">
        <v>2708</v>
      </c>
      <c r="C788">
        <v>59</v>
      </c>
      <c r="D788" t="s">
        <v>1336</v>
      </c>
      <c r="E788" t="s">
        <v>1498</v>
      </c>
      <c r="F788" t="s">
        <v>1362</v>
      </c>
      <c r="G788">
        <v>6759156508</v>
      </c>
    </row>
    <row r="789" spans="1:7" x14ac:dyDescent="0.3">
      <c r="A789" t="s">
        <v>2709</v>
      </c>
      <c r="B789" t="s">
        <v>2710</v>
      </c>
      <c r="C789">
        <v>39</v>
      </c>
      <c r="D789" t="s">
        <v>1328</v>
      </c>
      <c r="E789" t="s">
        <v>1511</v>
      </c>
      <c r="F789" t="s">
        <v>1419</v>
      </c>
      <c r="G789">
        <v>7193193432</v>
      </c>
    </row>
    <row r="790" spans="1:7" x14ac:dyDescent="0.3">
      <c r="A790" t="s">
        <v>2711</v>
      </c>
      <c r="B790" t="s">
        <v>2712</v>
      </c>
      <c r="C790">
        <v>25</v>
      </c>
      <c r="D790" t="s">
        <v>1328</v>
      </c>
      <c r="E790" t="s">
        <v>1501</v>
      </c>
      <c r="F790" t="s">
        <v>1394</v>
      </c>
      <c r="G790">
        <v>7998711464</v>
      </c>
    </row>
    <row r="791" spans="1:7" x14ac:dyDescent="0.3">
      <c r="A791" t="s">
        <v>904</v>
      </c>
      <c r="B791" t="s">
        <v>2713</v>
      </c>
      <c r="C791">
        <v>34</v>
      </c>
      <c r="D791" t="s">
        <v>1336</v>
      </c>
      <c r="E791" t="s">
        <v>1393</v>
      </c>
      <c r="F791" t="s">
        <v>1394</v>
      </c>
      <c r="G791">
        <v>7953333064</v>
      </c>
    </row>
    <row r="792" spans="1:7" x14ac:dyDescent="0.3">
      <c r="A792" t="s">
        <v>2714</v>
      </c>
      <c r="B792" t="s">
        <v>2715</v>
      </c>
      <c r="C792">
        <v>42</v>
      </c>
      <c r="D792" t="s">
        <v>1328</v>
      </c>
      <c r="E792" t="s">
        <v>1358</v>
      </c>
      <c r="F792" t="s">
        <v>1356</v>
      </c>
      <c r="G792">
        <v>6791054299</v>
      </c>
    </row>
    <row r="793" spans="1:7" x14ac:dyDescent="0.3">
      <c r="A793" t="s">
        <v>2716</v>
      </c>
      <c r="B793" t="s">
        <v>2717</v>
      </c>
      <c r="C793">
        <v>45</v>
      </c>
      <c r="D793" t="s">
        <v>1336</v>
      </c>
      <c r="E793" t="s">
        <v>1415</v>
      </c>
      <c r="F793" t="s">
        <v>1348</v>
      </c>
      <c r="G793">
        <v>9157521030</v>
      </c>
    </row>
    <row r="794" spans="1:7" x14ac:dyDescent="0.3">
      <c r="A794" t="s">
        <v>1212</v>
      </c>
      <c r="B794" t="s">
        <v>2718</v>
      </c>
      <c r="C794">
        <v>63</v>
      </c>
      <c r="D794" t="s">
        <v>1336</v>
      </c>
      <c r="E794" t="s">
        <v>1498</v>
      </c>
      <c r="F794" t="s">
        <v>1362</v>
      </c>
      <c r="G794">
        <v>8178746417</v>
      </c>
    </row>
    <row r="795" spans="1:7" x14ac:dyDescent="0.3">
      <c r="A795" t="s">
        <v>2719</v>
      </c>
      <c r="B795" t="s">
        <v>2720</v>
      </c>
      <c r="C795">
        <v>53</v>
      </c>
      <c r="D795" t="s">
        <v>1336</v>
      </c>
      <c r="E795" t="s">
        <v>1351</v>
      </c>
      <c r="F795" t="s">
        <v>1352</v>
      </c>
      <c r="G795">
        <v>6498541402</v>
      </c>
    </row>
    <row r="796" spans="1:7" x14ac:dyDescent="0.3">
      <c r="A796" t="s">
        <v>2721</v>
      </c>
      <c r="B796" t="s">
        <v>2722</v>
      </c>
      <c r="C796">
        <v>37</v>
      </c>
      <c r="D796" t="s">
        <v>1336</v>
      </c>
      <c r="E796" t="s">
        <v>1337</v>
      </c>
      <c r="F796" t="s">
        <v>1338</v>
      </c>
      <c r="G796">
        <v>6039361009</v>
      </c>
    </row>
    <row r="797" spans="1:7" x14ac:dyDescent="0.3">
      <c r="A797" t="s">
        <v>922</v>
      </c>
      <c r="B797" t="s">
        <v>2723</v>
      </c>
      <c r="C797">
        <v>45</v>
      </c>
      <c r="D797" t="s">
        <v>1328</v>
      </c>
      <c r="E797" t="s">
        <v>1463</v>
      </c>
      <c r="F797" t="s">
        <v>1391</v>
      </c>
      <c r="G797">
        <v>7699057832</v>
      </c>
    </row>
    <row r="798" spans="1:7" x14ac:dyDescent="0.3">
      <c r="A798" t="s">
        <v>771</v>
      </c>
      <c r="B798" t="s">
        <v>2724</v>
      </c>
      <c r="C798">
        <v>43</v>
      </c>
      <c r="D798" t="s">
        <v>1328</v>
      </c>
      <c r="E798" t="s">
        <v>1438</v>
      </c>
      <c r="F798" t="s">
        <v>1419</v>
      </c>
      <c r="G798">
        <v>8325972626</v>
      </c>
    </row>
    <row r="799" spans="1:7" x14ac:dyDescent="0.3">
      <c r="A799" t="s">
        <v>2725</v>
      </c>
      <c r="B799" t="s">
        <v>2726</v>
      </c>
      <c r="C799">
        <v>56</v>
      </c>
      <c r="D799" t="s">
        <v>1336</v>
      </c>
      <c r="E799" t="s">
        <v>1556</v>
      </c>
      <c r="F799" t="s">
        <v>1333</v>
      </c>
      <c r="G799">
        <v>6343193521</v>
      </c>
    </row>
    <row r="800" spans="1:7" x14ac:dyDescent="0.3">
      <c r="A800" t="s">
        <v>2727</v>
      </c>
      <c r="B800" t="s">
        <v>2728</v>
      </c>
      <c r="C800">
        <v>51</v>
      </c>
      <c r="D800" t="s">
        <v>1328</v>
      </c>
      <c r="E800" t="s">
        <v>1337</v>
      </c>
      <c r="F800" t="s">
        <v>1338</v>
      </c>
      <c r="G800">
        <v>8931269456</v>
      </c>
    </row>
    <row r="801" spans="1:7" x14ac:dyDescent="0.3">
      <c r="A801" t="s">
        <v>2729</v>
      </c>
      <c r="B801" t="s">
        <v>2730</v>
      </c>
      <c r="C801">
        <v>40</v>
      </c>
      <c r="D801" t="s">
        <v>1328</v>
      </c>
      <c r="E801" t="s">
        <v>1591</v>
      </c>
      <c r="F801" t="s">
        <v>1352</v>
      </c>
      <c r="G801">
        <v>9182669388</v>
      </c>
    </row>
    <row r="802" spans="1:7" x14ac:dyDescent="0.3">
      <c r="A802" t="s">
        <v>2731</v>
      </c>
      <c r="B802" t="s">
        <v>2732</v>
      </c>
      <c r="C802">
        <v>58</v>
      </c>
      <c r="D802" t="s">
        <v>1336</v>
      </c>
      <c r="E802" t="s">
        <v>1390</v>
      </c>
      <c r="F802" t="s">
        <v>1391</v>
      </c>
      <c r="G802">
        <v>9258326541</v>
      </c>
    </row>
    <row r="803" spans="1:7" x14ac:dyDescent="0.3">
      <c r="A803" t="s">
        <v>210</v>
      </c>
      <c r="B803" t="s">
        <v>2733</v>
      </c>
      <c r="C803">
        <v>18</v>
      </c>
      <c r="D803" t="s">
        <v>1336</v>
      </c>
      <c r="E803" t="s">
        <v>1747</v>
      </c>
      <c r="F803" t="s">
        <v>1391</v>
      </c>
      <c r="G803">
        <v>8437986660</v>
      </c>
    </row>
    <row r="804" spans="1:7" x14ac:dyDescent="0.3">
      <c r="A804" t="s">
        <v>1270</v>
      </c>
      <c r="B804" t="s">
        <v>2734</v>
      </c>
      <c r="C804">
        <v>29</v>
      </c>
      <c r="D804" t="s">
        <v>1328</v>
      </c>
      <c r="E804" t="s">
        <v>1451</v>
      </c>
      <c r="F804" t="s">
        <v>1445</v>
      </c>
      <c r="G804">
        <v>6962571108</v>
      </c>
    </row>
    <row r="805" spans="1:7" x14ac:dyDescent="0.3">
      <c r="A805" t="s">
        <v>2735</v>
      </c>
      <c r="B805" t="s">
        <v>2736</v>
      </c>
      <c r="C805">
        <v>49</v>
      </c>
      <c r="D805" t="s">
        <v>1336</v>
      </c>
      <c r="E805" t="s">
        <v>1393</v>
      </c>
      <c r="F805" t="s">
        <v>1394</v>
      </c>
      <c r="G805">
        <v>9611472987</v>
      </c>
    </row>
    <row r="806" spans="1:7" x14ac:dyDescent="0.3">
      <c r="A806" t="s">
        <v>2737</v>
      </c>
      <c r="B806" t="s">
        <v>2738</v>
      </c>
      <c r="C806">
        <v>45</v>
      </c>
      <c r="D806" t="s">
        <v>1336</v>
      </c>
      <c r="E806" t="s">
        <v>1386</v>
      </c>
      <c r="F806" t="s">
        <v>1338</v>
      </c>
      <c r="G806">
        <v>9047698069</v>
      </c>
    </row>
    <row r="807" spans="1:7" x14ac:dyDescent="0.3">
      <c r="A807" t="s">
        <v>2739</v>
      </c>
      <c r="B807" t="s">
        <v>2740</v>
      </c>
      <c r="C807">
        <v>65</v>
      </c>
      <c r="D807" t="s">
        <v>1328</v>
      </c>
      <c r="E807" t="s">
        <v>1383</v>
      </c>
      <c r="F807" t="s">
        <v>1338</v>
      </c>
      <c r="G807">
        <v>7058861187</v>
      </c>
    </row>
    <row r="808" spans="1:7" x14ac:dyDescent="0.3">
      <c r="A808" t="s">
        <v>2741</v>
      </c>
      <c r="B808" t="s">
        <v>2742</v>
      </c>
      <c r="C808">
        <v>22</v>
      </c>
      <c r="D808" t="s">
        <v>1336</v>
      </c>
      <c r="E808" t="s">
        <v>1347</v>
      </c>
      <c r="F808" t="s">
        <v>1348</v>
      </c>
      <c r="G808">
        <v>8338694550</v>
      </c>
    </row>
    <row r="809" spans="1:7" x14ac:dyDescent="0.3">
      <c r="A809" t="s">
        <v>517</v>
      </c>
      <c r="B809" t="s">
        <v>2743</v>
      </c>
      <c r="C809">
        <v>54</v>
      </c>
      <c r="D809" t="s">
        <v>1328</v>
      </c>
      <c r="E809" t="s">
        <v>1649</v>
      </c>
      <c r="F809" t="s">
        <v>1391</v>
      </c>
      <c r="G809">
        <v>8911199299</v>
      </c>
    </row>
    <row r="810" spans="1:7" x14ac:dyDescent="0.3">
      <c r="A810" t="s">
        <v>827</v>
      </c>
      <c r="B810" t="s">
        <v>2744</v>
      </c>
      <c r="C810">
        <v>41</v>
      </c>
      <c r="D810" t="s">
        <v>1328</v>
      </c>
      <c r="E810" t="s">
        <v>1403</v>
      </c>
      <c r="F810" t="s">
        <v>1362</v>
      </c>
      <c r="G810">
        <v>6310274236</v>
      </c>
    </row>
    <row r="811" spans="1:7" x14ac:dyDescent="0.3">
      <c r="A811" t="s">
        <v>2745</v>
      </c>
      <c r="B811" t="s">
        <v>2746</v>
      </c>
      <c r="C811">
        <v>54</v>
      </c>
      <c r="D811" t="s">
        <v>1328</v>
      </c>
      <c r="E811" t="s">
        <v>1393</v>
      </c>
      <c r="F811" t="s">
        <v>1394</v>
      </c>
      <c r="G811">
        <v>6257891820</v>
      </c>
    </row>
    <row r="812" spans="1:7" x14ac:dyDescent="0.3">
      <c r="A812" t="s">
        <v>2747</v>
      </c>
      <c r="B812" t="s">
        <v>2748</v>
      </c>
      <c r="C812">
        <v>56</v>
      </c>
      <c r="D812" t="s">
        <v>1336</v>
      </c>
      <c r="E812" t="s">
        <v>1408</v>
      </c>
      <c r="F812" t="s">
        <v>1409</v>
      </c>
      <c r="G812">
        <v>6089251743</v>
      </c>
    </row>
    <row r="813" spans="1:7" x14ac:dyDescent="0.3">
      <c r="A813" t="s">
        <v>1254</v>
      </c>
      <c r="B813" t="s">
        <v>2749</v>
      </c>
      <c r="C813">
        <v>32</v>
      </c>
      <c r="D813" t="s">
        <v>1328</v>
      </c>
      <c r="E813" t="s">
        <v>1655</v>
      </c>
      <c r="F813" t="s">
        <v>1409</v>
      </c>
      <c r="G813">
        <v>7023523711</v>
      </c>
    </row>
    <row r="814" spans="1:7" x14ac:dyDescent="0.3">
      <c r="A814" t="s">
        <v>797</v>
      </c>
      <c r="B814" t="s">
        <v>2750</v>
      </c>
      <c r="C814">
        <v>33</v>
      </c>
      <c r="D814" t="s">
        <v>1336</v>
      </c>
      <c r="E814" t="s">
        <v>1397</v>
      </c>
      <c r="F814" t="s">
        <v>1333</v>
      </c>
      <c r="G814">
        <v>7691606929</v>
      </c>
    </row>
    <row r="815" spans="1:7" x14ac:dyDescent="0.3">
      <c r="A815" t="s">
        <v>2751</v>
      </c>
      <c r="B815" t="s">
        <v>2752</v>
      </c>
      <c r="C815">
        <v>63</v>
      </c>
      <c r="D815" t="s">
        <v>1328</v>
      </c>
      <c r="E815" t="s">
        <v>1415</v>
      </c>
      <c r="F815" t="s">
        <v>1348</v>
      </c>
      <c r="G815">
        <v>6595030841</v>
      </c>
    </row>
    <row r="816" spans="1:7" x14ac:dyDescent="0.3">
      <c r="A816" t="s">
        <v>857</v>
      </c>
      <c r="B816" t="s">
        <v>2753</v>
      </c>
      <c r="C816">
        <v>25</v>
      </c>
      <c r="D816" t="s">
        <v>1336</v>
      </c>
      <c r="E816" t="s">
        <v>1422</v>
      </c>
      <c r="F816" t="s">
        <v>1330</v>
      </c>
      <c r="G816">
        <v>9965943859</v>
      </c>
    </row>
    <row r="817" spans="1:7" x14ac:dyDescent="0.3">
      <c r="A817" t="s">
        <v>2754</v>
      </c>
      <c r="B817" t="s">
        <v>2755</v>
      </c>
      <c r="C817">
        <v>34</v>
      </c>
      <c r="D817" t="s">
        <v>1328</v>
      </c>
      <c r="E817" t="s">
        <v>1425</v>
      </c>
      <c r="F817" t="s">
        <v>1409</v>
      </c>
      <c r="G817">
        <v>9624343427</v>
      </c>
    </row>
    <row r="818" spans="1:7" x14ac:dyDescent="0.3">
      <c r="A818" t="s">
        <v>2756</v>
      </c>
      <c r="B818" t="s">
        <v>2757</v>
      </c>
      <c r="C818">
        <v>41</v>
      </c>
      <c r="D818" t="s">
        <v>1336</v>
      </c>
      <c r="E818" t="s">
        <v>1408</v>
      </c>
      <c r="F818" t="s">
        <v>1409</v>
      </c>
      <c r="G818">
        <v>9136905339</v>
      </c>
    </row>
    <row r="819" spans="1:7" x14ac:dyDescent="0.3">
      <c r="A819" t="s">
        <v>2758</v>
      </c>
      <c r="B819" t="s">
        <v>2759</v>
      </c>
      <c r="C819">
        <v>55</v>
      </c>
      <c r="D819" t="s">
        <v>1336</v>
      </c>
      <c r="E819" t="s">
        <v>1386</v>
      </c>
      <c r="F819" t="s">
        <v>1338</v>
      </c>
      <c r="G819">
        <v>6537791395</v>
      </c>
    </row>
    <row r="820" spans="1:7" x14ac:dyDescent="0.3">
      <c r="A820" t="s">
        <v>2760</v>
      </c>
      <c r="B820" t="s">
        <v>2761</v>
      </c>
      <c r="C820">
        <v>56</v>
      </c>
      <c r="D820" t="s">
        <v>1328</v>
      </c>
      <c r="E820" t="s">
        <v>1332</v>
      </c>
      <c r="F820" t="s">
        <v>1333</v>
      </c>
      <c r="G820">
        <v>9562534268</v>
      </c>
    </row>
    <row r="821" spans="1:7" x14ac:dyDescent="0.3">
      <c r="A821" t="s">
        <v>2762</v>
      </c>
      <c r="B821" t="s">
        <v>2763</v>
      </c>
      <c r="C821">
        <v>25</v>
      </c>
      <c r="D821" t="s">
        <v>1328</v>
      </c>
      <c r="E821" t="s">
        <v>1329</v>
      </c>
      <c r="F821" t="s">
        <v>1330</v>
      </c>
      <c r="G821">
        <v>8542482258</v>
      </c>
    </row>
    <row r="822" spans="1:7" x14ac:dyDescent="0.3">
      <c r="A822" t="s">
        <v>2764</v>
      </c>
      <c r="B822" t="s">
        <v>2765</v>
      </c>
      <c r="C822">
        <v>44</v>
      </c>
      <c r="D822" t="s">
        <v>1328</v>
      </c>
      <c r="E822" t="s">
        <v>1415</v>
      </c>
      <c r="F822" t="s">
        <v>1348</v>
      </c>
      <c r="G822">
        <v>8084259253</v>
      </c>
    </row>
    <row r="823" spans="1:7" x14ac:dyDescent="0.3">
      <c r="A823" t="s">
        <v>316</v>
      </c>
      <c r="B823" t="s">
        <v>2766</v>
      </c>
      <c r="C823">
        <v>40</v>
      </c>
      <c r="D823" t="s">
        <v>1328</v>
      </c>
      <c r="E823" t="s">
        <v>1511</v>
      </c>
      <c r="F823" t="s">
        <v>1419</v>
      </c>
      <c r="G823">
        <v>8511735639</v>
      </c>
    </row>
    <row r="824" spans="1:7" x14ac:dyDescent="0.3">
      <c r="A824" t="s">
        <v>1144</v>
      </c>
      <c r="B824" t="s">
        <v>2767</v>
      </c>
      <c r="C824">
        <v>46</v>
      </c>
      <c r="D824" t="s">
        <v>1328</v>
      </c>
      <c r="E824" t="s">
        <v>1355</v>
      </c>
      <c r="F824" t="s">
        <v>1356</v>
      </c>
      <c r="G824">
        <v>6607565029</v>
      </c>
    </row>
    <row r="825" spans="1:7" x14ac:dyDescent="0.3">
      <c r="A825" t="s">
        <v>2768</v>
      </c>
      <c r="B825" t="s">
        <v>2769</v>
      </c>
      <c r="C825">
        <v>32</v>
      </c>
      <c r="D825" t="s">
        <v>1328</v>
      </c>
      <c r="E825" t="s">
        <v>1563</v>
      </c>
      <c r="F825" t="s">
        <v>1356</v>
      </c>
      <c r="G825">
        <v>7011338257</v>
      </c>
    </row>
    <row r="826" spans="1:7" x14ac:dyDescent="0.3">
      <c r="A826" t="s">
        <v>2770</v>
      </c>
      <c r="B826" t="s">
        <v>2771</v>
      </c>
      <c r="C826">
        <v>19</v>
      </c>
      <c r="D826" t="s">
        <v>1328</v>
      </c>
      <c r="E826" t="s">
        <v>1418</v>
      </c>
      <c r="F826" t="s">
        <v>1419</v>
      </c>
      <c r="G826">
        <v>9143325075</v>
      </c>
    </row>
    <row r="827" spans="1:7" x14ac:dyDescent="0.3">
      <c r="A827" t="s">
        <v>2772</v>
      </c>
      <c r="B827" t="s">
        <v>2773</v>
      </c>
      <c r="C827">
        <v>24</v>
      </c>
      <c r="D827" t="s">
        <v>1336</v>
      </c>
      <c r="E827" t="s">
        <v>1386</v>
      </c>
      <c r="F827" t="s">
        <v>1338</v>
      </c>
      <c r="G827">
        <v>9705428483</v>
      </c>
    </row>
    <row r="828" spans="1:7" x14ac:dyDescent="0.3">
      <c r="A828" t="s">
        <v>2774</v>
      </c>
      <c r="B828" t="s">
        <v>2775</v>
      </c>
      <c r="C828">
        <v>51</v>
      </c>
      <c r="D828" t="s">
        <v>1328</v>
      </c>
      <c r="E828" t="s">
        <v>1475</v>
      </c>
      <c r="F828" t="s">
        <v>1419</v>
      </c>
      <c r="G828">
        <v>8307358017</v>
      </c>
    </row>
    <row r="829" spans="1:7" x14ac:dyDescent="0.3">
      <c r="A829" t="s">
        <v>2776</v>
      </c>
      <c r="B829" t="s">
        <v>2777</v>
      </c>
      <c r="C829">
        <v>33</v>
      </c>
      <c r="D829" t="s">
        <v>1336</v>
      </c>
      <c r="E829" t="s">
        <v>1594</v>
      </c>
      <c r="F829" t="s">
        <v>1445</v>
      </c>
      <c r="G829">
        <v>8467537932</v>
      </c>
    </row>
    <row r="830" spans="1:7" x14ac:dyDescent="0.3">
      <c r="A830" t="s">
        <v>2778</v>
      </c>
      <c r="B830" t="s">
        <v>2779</v>
      </c>
      <c r="C830">
        <v>51</v>
      </c>
      <c r="D830" t="s">
        <v>1328</v>
      </c>
      <c r="E830" t="s">
        <v>1556</v>
      </c>
      <c r="F830" t="s">
        <v>1333</v>
      </c>
      <c r="G830">
        <v>7893991859</v>
      </c>
    </row>
    <row r="831" spans="1:7" x14ac:dyDescent="0.3">
      <c r="A831" t="s">
        <v>2780</v>
      </c>
      <c r="B831" t="s">
        <v>2781</v>
      </c>
      <c r="C831">
        <v>19</v>
      </c>
      <c r="D831" t="s">
        <v>1328</v>
      </c>
      <c r="E831" t="s">
        <v>1649</v>
      </c>
      <c r="F831" t="s">
        <v>1391</v>
      </c>
      <c r="G831">
        <v>8362092520</v>
      </c>
    </row>
    <row r="832" spans="1:7" x14ac:dyDescent="0.3">
      <c r="A832" t="s">
        <v>2782</v>
      </c>
      <c r="B832" t="s">
        <v>2783</v>
      </c>
      <c r="C832">
        <v>59</v>
      </c>
      <c r="D832" t="s">
        <v>1328</v>
      </c>
      <c r="E832" t="s">
        <v>1498</v>
      </c>
      <c r="F832" t="s">
        <v>1362</v>
      </c>
      <c r="G832">
        <v>7622393004</v>
      </c>
    </row>
    <row r="833" spans="1:7" x14ac:dyDescent="0.3">
      <c r="A833" t="s">
        <v>2784</v>
      </c>
      <c r="B833" t="s">
        <v>2785</v>
      </c>
      <c r="C833">
        <v>61</v>
      </c>
      <c r="D833" t="s">
        <v>1328</v>
      </c>
      <c r="E833" t="s">
        <v>1444</v>
      </c>
      <c r="F833" t="s">
        <v>1445</v>
      </c>
      <c r="G833">
        <v>8597879515</v>
      </c>
    </row>
    <row r="834" spans="1:7" x14ac:dyDescent="0.3">
      <c r="A834" t="s">
        <v>2786</v>
      </c>
      <c r="B834" t="s">
        <v>2787</v>
      </c>
      <c r="C834">
        <v>39</v>
      </c>
      <c r="D834" t="s">
        <v>1328</v>
      </c>
      <c r="E834" t="s">
        <v>1371</v>
      </c>
      <c r="F834" t="s">
        <v>1342</v>
      </c>
      <c r="G834">
        <v>7999136709</v>
      </c>
    </row>
    <row r="835" spans="1:7" x14ac:dyDescent="0.3">
      <c r="A835" t="s">
        <v>2788</v>
      </c>
      <c r="B835" t="s">
        <v>2789</v>
      </c>
      <c r="C835">
        <v>36</v>
      </c>
      <c r="D835" t="s">
        <v>1336</v>
      </c>
      <c r="E835" t="s">
        <v>1456</v>
      </c>
      <c r="F835" t="s">
        <v>1394</v>
      </c>
      <c r="G835">
        <v>6167123574</v>
      </c>
    </row>
    <row r="836" spans="1:7" x14ac:dyDescent="0.3">
      <c r="A836" t="s">
        <v>2790</v>
      </c>
      <c r="B836" t="s">
        <v>2791</v>
      </c>
      <c r="C836">
        <v>55</v>
      </c>
      <c r="D836" t="s">
        <v>1336</v>
      </c>
      <c r="E836" t="s">
        <v>1563</v>
      </c>
      <c r="F836" t="s">
        <v>1356</v>
      </c>
      <c r="G836">
        <v>7901754717</v>
      </c>
    </row>
    <row r="837" spans="1:7" x14ac:dyDescent="0.3">
      <c r="A837" t="s">
        <v>2792</v>
      </c>
      <c r="B837" t="s">
        <v>2793</v>
      </c>
      <c r="C837">
        <v>22</v>
      </c>
      <c r="D837" t="s">
        <v>1336</v>
      </c>
      <c r="E837" t="s">
        <v>1329</v>
      </c>
      <c r="F837" t="s">
        <v>1330</v>
      </c>
      <c r="G837">
        <v>6636332222</v>
      </c>
    </row>
    <row r="838" spans="1:7" x14ac:dyDescent="0.3">
      <c r="A838" t="s">
        <v>2794</v>
      </c>
      <c r="B838" t="s">
        <v>2795</v>
      </c>
      <c r="C838">
        <v>56</v>
      </c>
      <c r="D838" t="s">
        <v>1328</v>
      </c>
      <c r="E838" t="s">
        <v>1456</v>
      </c>
      <c r="F838" t="s">
        <v>1394</v>
      </c>
      <c r="G838">
        <v>8518373173</v>
      </c>
    </row>
    <row r="839" spans="1:7" x14ac:dyDescent="0.3">
      <c r="A839" t="s">
        <v>2796</v>
      </c>
      <c r="B839" t="s">
        <v>2797</v>
      </c>
      <c r="C839">
        <v>54</v>
      </c>
      <c r="D839" t="s">
        <v>1336</v>
      </c>
      <c r="E839" t="s">
        <v>1466</v>
      </c>
      <c r="F839" t="s">
        <v>1338</v>
      </c>
      <c r="G839">
        <v>9876010850</v>
      </c>
    </row>
    <row r="840" spans="1:7" x14ac:dyDescent="0.3">
      <c r="A840" t="s">
        <v>2798</v>
      </c>
      <c r="B840" t="s">
        <v>2799</v>
      </c>
      <c r="C840">
        <v>36</v>
      </c>
      <c r="D840" t="s">
        <v>1328</v>
      </c>
      <c r="E840" t="s">
        <v>1602</v>
      </c>
      <c r="F840" t="s">
        <v>1400</v>
      </c>
      <c r="G840">
        <v>6320186794</v>
      </c>
    </row>
    <row r="841" spans="1:7" x14ac:dyDescent="0.3">
      <c r="A841" t="s">
        <v>2800</v>
      </c>
      <c r="B841" t="s">
        <v>2801</v>
      </c>
      <c r="C841">
        <v>31</v>
      </c>
      <c r="D841" t="s">
        <v>1328</v>
      </c>
      <c r="E841" t="s">
        <v>1388</v>
      </c>
      <c r="F841" t="s">
        <v>1342</v>
      </c>
      <c r="G841">
        <v>6353501522</v>
      </c>
    </row>
    <row r="842" spans="1:7" x14ac:dyDescent="0.3">
      <c r="A842" t="s">
        <v>883</v>
      </c>
      <c r="B842" t="s">
        <v>2802</v>
      </c>
      <c r="C842">
        <v>29</v>
      </c>
      <c r="D842" t="s">
        <v>1336</v>
      </c>
      <c r="E842" t="s">
        <v>1358</v>
      </c>
      <c r="F842" t="s">
        <v>1356</v>
      </c>
      <c r="G842">
        <v>8349936984</v>
      </c>
    </row>
    <row r="843" spans="1:7" x14ac:dyDescent="0.3">
      <c r="A843" t="s">
        <v>1172</v>
      </c>
      <c r="B843" t="s">
        <v>2803</v>
      </c>
      <c r="C843">
        <v>61</v>
      </c>
      <c r="D843" t="s">
        <v>1328</v>
      </c>
      <c r="E843" t="s">
        <v>1504</v>
      </c>
      <c r="F843" t="s">
        <v>1394</v>
      </c>
      <c r="G843">
        <v>6471298419</v>
      </c>
    </row>
    <row r="844" spans="1:7" x14ac:dyDescent="0.3">
      <c r="A844" t="s">
        <v>773</v>
      </c>
      <c r="B844" t="s">
        <v>2804</v>
      </c>
      <c r="C844">
        <v>51</v>
      </c>
      <c r="D844" t="s">
        <v>1328</v>
      </c>
      <c r="E844" t="s">
        <v>1483</v>
      </c>
      <c r="F844" t="s">
        <v>1368</v>
      </c>
      <c r="G844">
        <v>7376177299</v>
      </c>
    </row>
    <row r="845" spans="1:7" x14ac:dyDescent="0.3">
      <c r="A845" t="s">
        <v>2805</v>
      </c>
      <c r="B845" t="s">
        <v>2806</v>
      </c>
      <c r="C845">
        <v>57</v>
      </c>
      <c r="D845" t="s">
        <v>1328</v>
      </c>
      <c r="E845" t="s">
        <v>1341</v>
      </c>
      <c r="F845" t="s">
        <v>1342</v>
      </c>
      <c r="G845">
        <v>7705143687</v>
      </c>
    </row>
    <row r="846" spans="1:7" x14ac:dyDescent="0.3">
      <c r="A846" t="s">
        <v>1176</v>
      </c>
      <c r="B846" t="s">
        <v>2807</v>
      </c>
      <c r="C846">
        <v>31</v>
      </c>
      <c r="D846" t="s">
        <v>1328</v>
      </c>
      <c r="E846" t="s">
        <v>1347</v>
      </c>
      <c r="F846" t="s">
        <v>1348</v>
      </c>
      <c r="G846">
        <v>9209028168</v>
      </c>
    </row>
    <row r="847" spans="1:7" x14ac:dyDescent="0.3">
      <c r="A847" t="s">
        <v>761</v>
      </c>
      <c r="B847" t="s">
        <v>2808</v>
      </c>
      <c r="C847">
        <v>46</v>
      </c>
      <c r="D847" t="s">
        <v>1328</v>
      </c>
      <c r="E847" t="s">
        <v>1341</v>
      </c>
      <c r="F847" t="s">
        <v>1342</v>
      </c>
      <c r="G847">
        <v>8646578059</v>
      </c>
    </row>
    <row r="848" spans="1:7" x14ac:dyDescent="0.3">
      <c r="A848" t="s">
        <v>2809</v>
      </c>
      <c r="B848" t="s">
        <v>2810</v>
      </c>
      <c r="C848">
        <v>32</v>
      </c>
      <c r="D848" t="s">
        <v>1336</v>
      </c>
      <c r="E848" t="s">
        <v>1371</v>
      </c>
      <c r="F848" t="s">
        <v>1342</v>
      </c>
      <c r="G848">
        <v>6476537213</v>
      </c>
    </row>
    <row r="849" spans="1:7" x14ac:dyDescent="0.3">
      <c r="A849" t="s">
        <v>2811</v>
      </c>
      <c r="B849" t="s">
        <v>2812</v>
      </c>
      <c r="C849">
        <v>20</v>
      </c>
      <c r="D849" t="s">
        <v>1336</v>
      </c>
      <c r="E849" t="s">
        <v>1478</v>
      </c>
      <c r="F849" t="s">
        <v>1391</v>
      </c>
      <c r="G849">
        <v>9691700436</v>
      </c>
    </row>
    <row r="850" spans="1:7" x14ac:dyDescent="0.3">
      <c r="A850" t="s">
        <v>2813</v>
      </c>
      <c r="B850" t="s">
        <v>2814</v>
      </c>
      <c r="C850">
        <v>20</v>
      </c>
      <c r="D850" t="s">
        <v>1336</v>
      </c>
      <c r="E850" t="s">
        <v>1397</v>
      </c>
      <c r="F850" t="s">
        <v>1333</v>
      </c>
      <c r="G850">
        <v>6285142375</v>
      </c>
    </row>
    <row r="851" spans="1:7" x14ac:dyDescent="0.3">
      <c r="A851" t="s">
        <v>2815</v>
      </c>
      <c r="B851" t="s">
        <v>2816</v>
      </c>
      <c r="C851">
        <v>64</v>
      </c>
      <c r="D851" t="s">
        <v>1336</v>
      </c>
      <c r="E851" t="s">
        <v>1374</v>
      </c>
      <c r="F851" t="s">
        <v>1348</v>
      </c>
      <c r="G851">
        <v>6190202024</v>
      </c>
    </row>
    <row r="852" spans="1:7" x14ac:dyDescent="0.3">
      <c r="A852" t="s">
        <v>944</v>
      </c>
      <c r="B852" t="s">
        <v>2817</v>
      </c>
      <c r="C852">
        <v>45</v>
      </c>
      <c r="D852" t="s">
        <v>1328</v>
      </c>
      <c r="E852" t="s">
        <v>1845</v>
      </c>
      <c r="F852" t="s">
        <v>1330</v>
      </c>
      <c r="G852">
        <v>9174028413</v>
      </c>
    </row>
    <row r="853" spans="1:7" x14ac:dyDescent="0.3">
      <c r="A853" t="s">
        <v>448</v>
      </c>
      <c r="B853" t="s">
        <v>2818</v>
      </c>
      <c r="C853">
        <v>50</v>
      </c>
      <c r="D853" t="s">
        <v>1336</v>
      </c>
      <c r="E853" t="s">
        <v>1432</v>
      </c>
      <c r="F853" t="s">
        <v>1342</v>
      </c>
      <c r="G853">
        <v>7158147746</v>
      </c>
    </row>
    <row r="854" spans="1:7" x14ac:dyDescent="0.3">
      <c r="A854" t="s">
        <v>2819</v>
      </c>
      <c r="B854" t="s">
        <v>2820</v>
      </c>
      <c r="C854">
        <v>41</v>
      </c>
      <c r="D854" t="s">
        <v>1328</v>
      </c>
      <c r="E854" t="s">
        <v>1815</v>
      </c>
      <c r="F854" t="s">
        <v>1400</v>
      </c>
      <c r="G854">
        <v>9471817800</v>
      </c>
    </row>
    <row r="855" spans="1:7" x14ac:dyDescent="0.3">
      <c r="A855" t="s">
        <v>2821</v>
      </c>
      <c r="B855" t="s">
        <v>2822</v>
      </c>
      <c r="C855">
        <v>18</v>
      </c>
      <c r="D855" t="s">
        <v>1328</v>
      </c>
      <c r="E855" t="s">
        <v>1432</v>
      </c>
      <c r="F855" t="s">
        <v>1342</v>
      </c>
      <c r="G855">
        <v>7762481689</v>
      </c>
    </row>
    <row r="856" spans="1:7" x14ac:dyDescent="0.3">
      <c r="A856" t="s">
        <v>2823</v>
      </c>
      <c r="B856" t="s">
        <v>2824</v>
      </c>
      <c r="C856">
        <v>30</v>
      </c>
      <c r="D856" t="s">
        <v>1336</v>
      </c>
      <c r="E856" t="s">
        <v>1466</v>
      </c>
      <c r="F856" t="s">
        <v>1338</v>
      </c>
      <c r="G856">
        <v>7266306861</v>
      </c>
    </row>
    <row r="857" spans="1:7" x14ac:dyDescent="0.3">
      <c r="A857" t="s">
        <v>2825</v>
      </c>
      <c r="B857" t="s">
        <v>2826</v>
      </c>
      <c r="C857">
        <v>36</v>
      </c>
      <c r="D857" t="s">
        <v>1328</v>
      </c>
      <c r="E857" t="s">
        <v>1542</v>
      </c>
      <c r="F857" t="s">
        <v>1409</v>
      </c>
      <c r="G857">
        <v>8532994108</v>
      </c>
    </row>
    <row r="858" spans="1:7" x14ac:dyDescent="0.3">
      <c r="A858" t="s">
        <v>187</v>
      </c>
      <c r="B858" t="s">
        <v>2827</v>
      </c>
      <c r="C858">
        <v>18</v>
      </c>
      <c r="D858" t="s">
        <v>1336</v>
      </c>
      <c r="E858" t="s">
        <v>1845</v>
      </c>
      <c r="F858" t="s">
        <v>1330</v>
      </c>
      <c r="G858">
        <v>8336942324</v>
      </c>
    </row>
    <row r="859" spans="1:7" x14ac:dyDescent="0.3">
      <c r="A859" t="s">
        <v>2828</v>
      </c>
      <c r="B859" t="s">
        <v>2829</v>
      </c>
      <c r="C859">
        <v>23</v>
      </c>
      <c r="D859" t="s">
        <v>1336</v>
      </c>
      <c r="E859" t="s">
        <v>1832</v>
      </c>
      <c r="F859" t="s">
        <v>1368</v>
      </c>
      <c r="G859">
        <v>8937002155</v>
      </c>
    </row>
    <row r="860" spans="1:7" x14ac:dyDescent="0.3">
      <c r="A860" t="s">
        <v>2830</v>
      </c>
      <c r="B860" t="s">
        <v>2831</v>
      </c>
      <c r="C860">
        <v>23</v>
      </c>
      <c r="D860" t="s">
        <v>1336</v>
      </c>
      <c r="E860" t="s">
        <v>1418</v>
      </c>
      <c r="F860" t="s">
        <v>1419</v>
      </c>
      <c r="G860">
        <v>9195115757</v>
      </c>
    </row>
    <row r="861" spans="1:7" x14ac:dyDescent="0.3">
      <c r="A861" t="s">
        <v>2832</v>
      </c>
      <c r="B861" t="s">
        <v>2833</v>
      </c>
      <c r="C861">
        <v>21</v>
      </c>
      <c r="D861" t="s">
        <v>1328</v>
      </c>
      <c r="E861" t="s">
        <v>1411</v>
      </c>
      <c r="F861" t="s">
        <v>1356</v>
      </c>
      <c r="G861">
        <v>8542095248</v>
      </c>
    </row>
    <row r="862" spans="1:7" x14ac:dyDescent="0.3">
      <c r="A862" t="s">
        <v>920</v>
      </c>
      <c r="B862" t="s">
        <v>2834</v>
      </c>
      <c r="C862">
        <v>40</v>
      </c>
      <c r="D862" t="s">
        <v>1328</v>
      </c>
      <c r="E862" t="s">
        <v>1432</v>
      </c>
      <c r="F862" t="s">
        <v>1342</v>
      </c>
      <c r="G862">
        <v>9236325349</v>
      </c>
    </row>
    <row r="863" spans="1:7" x14ac:dyDescent="0.3">
      <c r="A863" t="s">
        <v>1064</v>
      </c>
      <c r="B863" t="s">
        <v>2835</v>
      </c>
      <c r="C863">
        <v>30</v>
      </c>
      <c r="D863" t="s">
        <v>1328</v>
      </c>
      <c r="E863" t="s">
        <v>1602</v>
      </c>
      <c r="F863" t="s">
        <v>1400</v>
      </c>
      <c r="G863">
        <v>9799528853</v>
      </c>
    </row>
    <row r="864" spans="1:7" x14ac:dyDescent="0.3">
      <c r="A864" t="s">
        <v>2836</v>
      </c>
      <c r="B864" t="s">
        <v>2837</v>
      </c>
      <c r="C864">
        <v>55</v>
      </c>
      <c r="D864" t="s">
        <v>1336</v>
      </c>
      <c r="E864" t="s">
        <v>1361</v>
      </c>
      <c r="F864" t="s">
        <v>1362</v>
      </c>
      <c r="G864">
        <v>7884989609</v>
      </c>
    </row>
    <row r="865" spans="1:7" x14ac:dyDescent="0.3">
      <c r="A865" t="s">
        <v>554</v>
      </c>
      <c r="B865" t="s">
        <v>2838</v>
      </c>
      <c r="C865">
        <v>47</v>
      </c>
      <c r="D865" t="s">
        <v>1328</v>
      </c>
      <c r="E865" t="s">
        <v>1441</v>
      </c>
      <c r="F865" t="s">
        <v>1394</v>
      </c>
      <c r="G865">
        <v>9985428879</v>
      </c>
    </row>
    <row r="866" spans="1:7" x14ac:dyDescent="0.3">
      <c r="A866" t="s">
        <v>2839</v>
      </c>
      <c r="B866" t="s">
        <v>2840</v>
      </c>
      <c r="C866">
        <v>50</v>
      </c>
      <c r="D866" t="s">
        <v>1336</v>
      </c>
      <c r="E866" t="s">
        <v>1351</v>
      </c>
      <c r="F866" t="s">
        <v>1352</v>
      </c>
      <c r="G866">
        <v>8598917187</v>
      </c>
    </row>
    <row r="867" spans="1:7" x14ac:dyDescent="0.3">
      <c r="A867" t="s">
        <v>2841</v>
      </c>
      <c r="B867" t="s">
        <v>2842</v>
      </c>
      <c r="C867">
        <v>26</v>
      </c>
      <c r="D867" t="s">
        <v>1336</v>
      </c>
      <c r="E867" t="s">
        <v>1655</v>
      </c>
      <c r="F867" t="s">
        <v>1409</v>
      </c>
      <c r="G867">
        <v>9600859322</v>
      </c>
    </row>
    <row r="868" spans="1:7" x14ac:dyDescent="0.3">
      <c r="A868" t="s">
        <v>2843</v>
      </c>
      <c r="B868" t="s">
        <v>2844</v>
      </c>
      <c r="C868">
        <v>19</v>
      </c>
      <c r="D868" t="s">
        <v>1328</v>
      </c>
      <c r="E868" t="s">
        <v>1374</v>
      </c>
      <c r="F868" t="s">
        <v>1348</v>
      </c>
      <c r="G868">
        <v>6978242528</v>
      </c>
    </row>
    <row r="869" spans="1:7" x14ac:dyDescent="0.3">
      <c r="A869" t="s">
        <v>2845</v>
      </c>
      <c r="B869" t="s">
        <v>2846</v>
      </c>
      <c r="C869">
        <v>37</v>
      </c>
      <c r="D869" t="s">
        <v>1336</v>
      </c>
      <c r="E869" t="s">
        <v>1347</v>
      </c>
      <c r="F869" t="s">
        <v>1348</v>
      </c>
      <c r="G869">
        <v>8614096663</v>
      </c>
    </row>
    <row r="870" spans="1:7" x14ac:dyDescent="0.3">
      <c r="A870" t="s">
        <v>992</v>
      </c>
      <c r="B870" t="s">
        <v>2847</v>
      </c>
      <c r="C870">
        <v>33</v>
      </c>
      <c r="D870" t="s">
        <v>1336</v>
      </c>
      <c r="E870" t="s">
        <v>1832</v>
      </c>
      <c r="F870" t="s">
        <v>1368</v>
      </c>
      <c r="G870">
        <v>7161317813</v>
      </c>
    </row>
    <row r="871" spans="1:7" x14ac:dyDescent="0.3">
      <c r="A871" t="s">
        <v>2848</v>
      </c>
      <c r="B871" t="s">
        <v>2849</v>
      </c>
      <c r="C871">
        <v>28</v>
      </c>
      <c r="D871" t="s">
        <v>1336</v>
      </c>
      <c r="E871" t="s">
        <v>1478</v>
      </c>
      <c r="F871" t="s">
        <v>1391</v>
      </c>
      <c r="G871">
        <v>6841156867</v>
      </c>
    </row>
    <row r="872" spans="1:7" x14ac:dyDescent="0.3">
      <c r="A872" t="s">
        <v>56</v>
      </c>
      <c r="B872" t="s">
        <v>2850</v>
      </c>
      <c r="C872">
        <v>37</v>
      </c>
      <c r="D872" t="s">
        <v>1336</v>
      </c>
      <c r="E872" t="s">
        <v>1637</v>
      </c>
      <c r="F872" t="s">
        <v>1368</v>
      </c>
      <c r="G872">
        <v>8072667590</v>
      </c>
    </row>
    <row r="873" spans="1:7" x14ac:dyDescent="0.3">
      <c r="A873" t="s">
        <v>1098</v>
      </c>
      <c r="B873" t="s">
        <v>2851</v>
      </c>
      <c r="C873">
        <v>38</v>
      </c>
      <c r="D873" t="s">
        <v>1336</v>
      </c>
      <c r="E873" t="s">
        <v>1649</v>
      </c>
      <c r="F873" t="s">
        <v>1391</v>
      </c>
      <c r="G873">
        <v>7680728299</v>
      </c>
    </row>
    <row r="874" spans="1:7" x14ac:dyDescent="0.3">
      <c r="A874" t="s">
        <v>2852</v>
      </c>
      <c r="B874" t="s">
        <v>2853</v>
      </c>
      <c r="C874">
        <v>62</v>
      </c>
      <c r="D874" t="s">
        <v>1328</v>
      </c>
      <c r="E874" t="s">
        <v>1374</v>
      </c>
      <c r="F874" t="s">
        <v>1348</v>
      </c>
      <c r="G874">
        <v>7654792972</v>
      </c>
    </row>
    <row r="875" spans="1:7" x14ac:dyDescent="0.3">
      <c r="A875" t="s">
        <v>2854</v>
      </c>
      <c r="B875" t="s">
        <v>2855</v>
      </c>
      <c r="C875">
        <v>51</v>
      </c>
      <c r="D875" t="s">
        <v>1328</v>
      </c>
      <c r="E875" t="s">
        <v>1365</v>
      </c>
      <c r="F875" t="s">
        <v>1352</v>
      </c>
      <c r="G875">
        <v>6321961726</v>
      </c>
    </row>
    <row r="876" spans="1:7" x14ac:dyDescent="0.3">
      <c r="A876" t="s">
        <v>2856</v>
      </c>
      <c r="B876" t="s">
        <v>2857</v>
      </c>
      <c r="C876">
        <v>41</v>
      </c>
      <c r="D876" t="s">
        <v>1328</v>
      </c>
      <c r="E876" t="s">
        <v>1422</v>
      </c>
      <c r="F876" t="s">
        <v>1330</v>
      </c>
      <c r="G876">
        <v>7517647520</v>
      </c>
    </row>
    <row r="877" spans="1:7" x14ac:dyDescent="0.3">
      <c r="A877" t="s">
        <v>2858</v>
      </c>
      <c r="B877" t="s">
        <v>2859</v>
      </c>
      <c r="C877">
        <v>59</v>
      </c>
      <c r="D877" t="s">
        <v>1328</v>
      </c>
      <c r="E877" t="s">
        <v>1371</v>
      </c>
      <c r="F877" t="s">
        <v>1342</v>
      </c>
      <c r="G877">
        <v>9689119084</v>
      </c>
    </row>
    <row r="878" spans="1:7" x14ac:dyDescent="0.3">
      <c r="A878" t="s">
        <v>2860</v>
      </c>
      <c r="B878" t="s">
        <v>2861</v>
      </c>
      <c r="C878">
        <v>31</v>
      </c>
      <c r="D878" t="s">
        <v>1336</v>
      </c>
      <c r="E878" t="s">
        <v>1341</v>
      </c>
      <c r="F878" t="s">
        <v>1342</v>
      </c>
      <c r="G878">
        <v>8144551697</v>
      </c>
    </row>
    <row r="879" spans="1:7" x14ac:dyDescent="0.3">
      <c r="A879" t="s">
        <v>704</v>
      </c>
      <c r="B879" t="s">
        <v>2862</v>
      </c>
      <c r="C879">
        <v>55</v>
      </c>
      <c r="D879" t="s">
        <v>1328</v>
      </c>
      <c r="E879" t="s">
        <v>1713</v>
      </c>
      <c r="F879" t="s">
        <v>1409</v>
      </c>
      <c r="G879">
        <v>6641846081</v>
      </c>
    </row>
    <row r="880" spans="1:7" x14ac:dyDescent="0.3">
      <c r="A880" t="s">
        <v>855</v>
      </c>
      <c r="B880" t="s">
        <v>2863</v>
      </c>
      <c r="C880">
        <v>47</v>
      </c>
      <c r="D880" t="s">
        <v>1336</v>
      </c>
      <c r="E880" t="s">
        <v>1347</v>
      </c>
      <c r="F880" t="s">
        <v>1348</v>
      </c>
      <c r="G880">
        <v>6210553785</v>
      </c>
    </row>
    <row r="881" spans="1:7" x14ac:dyDescent="0.3">
      <c r="A881" t="s">
        <v>2864</v>
      </c>
      <c r="B881" t="s">
        <v>2865</v>
      </c>
      <c r="C881">
        <v>24</v>
      </c>
      <c r="D881" t="s">
        <v>1336</v>
      </c>
      <c r="E881" t="s">
        <v>1438</v>
      </c>
      <c r="F881" t="s">
        <v>1419</v>
      </c>
      <c r="G881">
        <v>7597488301</v>
      </c>
    </row>
    <row r="882" spans="1:7" x14ac:dyDescent="0.3">
      <c r="A882" t="s">
        <v>2866</v>
      </c>
      <c r="B882" t="s">
        <v>2867</v>
      </c>
      <c r="C882">
        <v>25</v>
      </c>
      <c r="D882" t="s">
        <v>1328</v>
      </c>
      <c r="E882" t="s">
        <v>1591</v>
      </c>
      <c r="F882" t="s">
        <v>1352</v>
      </c>
      <c r="G882">
        <v>9094907116</v>
      </c>
    </row>
    <row r="883" spans="1:7" x14ac:dyDescent="0.3">
      <c r="A883" t="s">
        <v>2868</v>
      </c>
      <c r="B883" t="s">
        <v>2869</v>
      </c>
      <c r="C883">
        <v>43</v>
      </c>
      <c r="D883" t="s">
        <v>1328</v>
      </c>
      <c r="E883" t="s">
        <v>1815</v>
      </c>
      <c r="F883" t="s">
        <v>1400</v>
      </c>
      <c r="G883">
        <v>6100980441</v>
      </c>
    </row>
    <row r="884" spans="1:7" x14ac:dyDescent="0.3">
      <c r="A884" t="s">
        <v>2870</v>
      </c>
      <c r="B884" t="s">
        <v>2871</v>
      </c>
      <c r="C884">
        <v>53</v>
      </c>
      <c r="D884" t="s">
        <v>1336</v>
      </c>
      <c r="E884" t="s">
        <v>1371</v>
      </c>
      <c r="F884" t="s">
        <v>1342</v>
      </c>
      <c r="G884">
        <v>8127740317</v>
      </c>
    </row>
    <row r="885" spans="1:7" x14ac:dyDescent="0.3">
      <c r="A885" t="s">
        <v>755</v>
      </c>
      <c r="B885" t="s">
        <v>2872</v>
      </c>
      <c r="C885">
        <v>41</v>
      </c>
      <c r="D885" t="s">
        <v>1328</v>
      </c>
      <c r="E885" t="s">
        <v>1341</v>
      </c>
      <c r="F885" t="s">
        <v>1342</v>
      </c>
      <c r="G885">
        <v>6295822686</v>
      </c>
    </row>
    <row r="886" spans="1:7" x14ac:dyDescent="0.3">
      <c r="A886" t="s">
        <v>2873</v>
      </c>
      <c r="B886" t="s">
        <v>2874</v>
      </c>
      <c r="C886">
        <v>18</v>
      </c>
      <c r="D886" t="s">
        <v>1336</v>
      </c>
      <c r="E886" t="s">
        <v>1425</v>
      </c>
      <c r="F886" t="s">
        <v>1409</v>
      </c>
      <c r="G886">
        <v>8008899228</v>
      </c>
    </row>
    <row r="887" spans="1:7" x14ac:dyDescent="0.3">
      <c r="A887" t="s">
        <v>2875</v>
      </c>
      <c r="B887" t="s">
        <v>2876</v>
      </c>
      <c r="C887">
        <v>64</v>
      </c>
      <c r="D887" t="s">
        <v>1336</v>
      </c>
      <c r="E887" t="s">
        <v>1815</v>
      </c>
      <c r="F887" t="s">
        <v>1400</v>
      </c>
      <c r="G887">
        <v>6738747939</v>
      </c>
    </row>
    <row r="888" spans="1:7" x14ac:dyDescent="0.3">
      <c r="A888" t="s">
        <v>926</v>
      </c>
      <c r="B888" t="s">
        <v>2877</v>
      </c>
      <c r="C888">
        <v>29</v>
      </c>
      <c r="D888" t="s">
        <v>1328</v>
      </c>
      <c r="E888" t="s">
        <v>1517</v>
      </c>
      <c r="F888" t="s">
        <v>1362</v>
      </c>
      <c r="G888">
        <v>6196482417</v>
      </c>
    </row>
    <row r="889" spans="1:7" x14ac:dyDescent="0.3">
      <c r="A889" t="s">
        <v>2878</v>
      </c>
      <c r="B889" t="s">
        <v>2879</v>
      </c>
      <c r="C889">
        <v>30</v>
      </c>
      <c r="D889" t="s">
        <v>1328</v>
      </c>
      <c r="E889" t="s">
        <v>1341</v>
      </c>
      <c r="F889" t="s">
        <v>1342</v>
      </c>
      <c r="G889">
        <v>7199211381</v>
      </c>
    </row>
    <row r="890" spans="1:7" x14ac:dyDescent="0.3">
      <c r="A890" t="s">
        <v>75</v>
      </c>
      <c r="B890" t="s">
        <v>2880</v>
      </c>
      <c r="C890">
        <v>62</v>
      </c>
      <c r="D890" t="s">
        <v>1336</v>
      </c>
      <c r="E890" t="s">
        <v>1408</v>
      </c>
      <c r="F890" t="s">
        <v>1409</v>
      </c>
      <c r="G890">
        <v>8017904371</v>
      </c>
    </row>
    <row r="891" spans="1:7" x14ac:dyDescent="0.3">
      <c r="A891" t="s">
        <v>2881</v>
      </c>
      <c r="B891" t="s">
        <v>2882</v>
      </c>
      <c r="C891">
        <v>39</v>
      </c>
      <c r="D891" t="s">
        <v>1328</v>
      </c>
      <c r="E891" t="s">
        <v>1388</v>
      </c>
      <c r="F891" t="s">
        <v>1342</v>
      </c>
      <c r="G891">
        <v>6737666685</v>
      </c>
    </row>
    <row r="892" spans="1:7" x14ac:dyDescent="0.3">
      <c r="A892" t="s">
        <v>2883</v>
      </c>
      <c r="B892" t="s">
        <v>2884</v>
      </c>
      <c r="C892">
        <v>35</v>
      </c>
      <c r="D892" t="s">
        <v>1328</v>
      </c>
      <c r="E892" t="s">
        <v>1563</v>
      </c>
      <c r="F892" t="s">
        <v>1356</v>
      </c>
      <c r="G892">
        <v>8949986765</v>
      </c>
    </row>
    <row r="893" spans="1:7" x14ac:dyDescent="0.3">
      <c r="A893" t="s">
        <v>2885</v>
      </c>
      <c r="B893" t="s">
        <v>2886</v>
      </c>
      <c r="C893">
        <v>35</v>
      </c>
      <c r="D893" t="s">
        <v>1336</v>
      </c>
      <c r="E893" t="s">
        <v>1408</v>
      </c>
      <c r="F893" t="s">
        <v>1409</v>
      </c>
      <c r="G893">
        <v>8694288468</v>
      </c>
    </row>
    <row r="894" spans="1:7" x14ac:dyDescent="0.3">
      <c r="A894" t="s">
        <v>632</v>
      </c>
      <c r="B894" t="s">
        <v>2887</v>
      </c>
      <c r="C894">
        <v>47</v>
      </c>
      <c r="D894" t="s">
        <v>1328</v>
      </c>
      <c r="E894" t="s">
        <v>1377</v>
      </c>
      <c r="F894" t="s">
        <v>1368</v>
      </c>
      <c r="G894">
        <v>8373233107</v>
      </c>
    </row>
    <row r="895" spans="1:7" x14ac:dyDescent="0.3">
      <c r="A895" t="s">
        <v>2888</v>
      </c>
      <c r="B895" t="s">
        <v>2889</v>
      </c>
      <c r="C895">
        <v>21</v>
      </c>
      <c r="D895" t="s">
        <v>1336</v>
      </c>
      <c r="E895" t="s">
        <v>1655</v>
      </c>
      <c r="F895" t="s">
        <v>1409</v>
      </c>
      <c r="G895">
        <v>7205090047</v>
      </c>
    </row>
    <row r="896" spans="1:7" x14ac:dyDescent="0.3">
      <c r="A896" t="s">
        <v>374</v>
      </c>
      <c r="B896" t="s">
        <v>2890</v>
      </c>
      <c r="C896">
        <v>24</v>
      </c>
      <c r="D896" t="s">
        <v>1328</v>
      </c>
      <c r="E896" t="s">
        <v>1365</v>
      </c>
      <c r="F896" t="s">
        <v>1352</v>
      </c>
      <c r="G896">
        <v>7475916299</v>
      </c>
    </row>
    <row r="897" spans="1:7" x14ac:dyDescent="0.3">
      <c r="A897" t="s">
        <v>1246</v>
      </c>
      <c r="B897" t="s">
        <v>2891</v>
      </c>
      <c r="C897">
        <v>64</v>
      </c>
      <c r="D897" t="s">
        <v>1336</v>
      </c>
      <c r="E897" t="s">
        <v>1444</v>
      </c>
      <c r="F897" t="s">
        <v>1445</v>
      </c>
      <c r="G897">
        <v>9399124757</v>
      </c>
    </row>
    <row r="898" spans="1:7" x14ac:dyDescent="0.3">
      <c r="A898" t="s">
        <v>700</v>
      </c>
      <c r="B898" t="s">
        <v>2892</v>
      </c>
      <c r="C898">
        <v>41</v>
      </c>
      <c r="D898" t="s">
        <v>1328</v>
      </c>
      <c r="E898" t="s">
        <v>1332</v>
      </c>
      <c r="F898" t="s">
        <v>1333</v>
      </c>
      <c r="G898">
        <v>7914187117</v>
      </c>
    </row>
    <row r="899" spans="1:7" x14ac:dyDescent="0.3">
      <c r="A899" t="s">
        <v>2893</v>
      </c>
      <c r="B899" t="s">
        <v>2894</v>
      </c>
      <c r="C899">
        <v>54</v>
      </c>
      <c r="D899" t="s">
        <v>1336</v>
      </c>
      <c r="E899" t="s">
        <v>1511</v>
      </c>
      <c r="F899" t="s">
        <v>1419</v>
      </c>
      <c r="G899">
        <v>6204394850</v>
      </c>
    </row>
    <row r="900" spans="1:7" x14ac:dyDescent="0.3">
      <c r="A900" t="s">
        <v>2895</v>
      </c>
      <c r="B900" t="s">
        <v>2896</v>
      </c>
      <c r="C900">
        <v>50</v>
      </c>
      <c r="D900" t="s">
        <v>1328</v>
      </c>
      <c r="E900" t="s">
        <v>1466</v>
      </c>
      <c r="F900" t="s">
        <v>1338</v>
      </c>
      <c r="G900">
        <v>7314089799</v>
      </c>
    </row>
    <row r="901" spans="1:7" x14ac:dyDescent="0.3">
      <c r="A901" t="s">
        <v>574</v>
      </c>
      <c r="B901" t="s">
        <v>2897</v>
      </c>
      <c r="C901">
        <v>64</v>
      </c>
      <c r="D901" t="s">
        <v>1336</v>
      </c>
      <c r="E901" t="s">
        <v>1371</v>
      </c>
      <c r="F901" t="s">
        <v>1342</v>
      </c>
      <c r="G901">
        <v>9386429338</v>
      </c>
    </row>
    <row r="902" spans="1:7" x14ac:dyDescent="0.3">
      <c r="A902" t="s">
        <v>2898</v>
      </c>
      <c r="B902" t="s">
        <v>2899</v>
      </c>
      <c r="C902">
        <v>40</v>
      </c>
      <c r="D902" t="s">
        <v>1336</v>
      </c>
      <c r="E902" t="s">
        <v>1655</v>
      </c>
      <c r="F902" t="s">
        <v>1409</v>
      </c>
      <c r="G902">
        <v>7918345118</v>
      </c>
    </row>
    <row r="903" spans="1:7" x14ac:dyDescent="0.3">
      <c r="A903" t="s">
        <v>2900</v>
      </c>
      <c r="B903" t="s">
        <v>2901</v>
      </c>
      <c r="C903">
        <v>62</v>
      </c>
      <c r="D903" t="s">
        <v>1328</v>
      </c>
      <c r="E903" t="s">
        <v>1425</v>
      </c>
      <c r="F903" t="s">
        <v>1409</v>
      </c>
      <c r="G903">
        <v>8147017401</v>
      </c>
    </row>
    <row r="904" spans="1:7" x14ac:dyDescent="0.3">
      <c r="A904" t="s">
        <v>2902</v>
      </c>
      <c r="B904" t="s">
        <v>2903</v>
      </c>
      <c r="C904">
        <v>21</v>
      </c>
      <c r="D904" t="s">
        <v>1328</v>
      </c>
      <c r="E904" t="s">
        <v>1713</v>
      </c>
      <c r="F904" t="s">
        <v>1409</v>
      </c>
      <c r="G904">
        <v>7990824020</v>
      </c>
    </row>
    <row r="905" spans="1:7" x14ac:dyDescent="0.3">
      <c r="A905" t="s">
        <v>2904</v>
      </c>
      <c r="B905" t="s">
        <v>2905</v>
      </c>
      <c r="C905">
        <v>48</v>
      </c>
      <c r="D905" t="s">
        <v>1328</v>
      </c>
      <c r="E905" t="s">
        <v>1668</v>
      </c>
      <c r="F905" t="s">
        <v>1445</v>
      </c>
      <c r="G905">
        <v>7097213964</v>
      </c>
    </row>
    <row r="906" spans="1:7" x14ac:dyDescent="0.3">
      <c r="A906" t="s">
        <v>2906</v>
      </c>
      <c r="B906" t="s">
        <v>2907</v>
      </c>
      <c r="C906">
        <v>63</v>
      </c>
      <c r="D906" t="s">
        <v>1328</v>
      </c>
      <c r="E906" t="s">
        <v>1418</v>
      </c>
      <c r="F906" t="s">
        <v>1419</v>
      </c>
      <c r="G906">
        <v>6206256997</v>
      </c>
    </row>
    <row r="907" spans="1:7" x14ac:dyDescent="0.3">
      <c r="A907" t="s">
        <v>2908</v>
      </c>
      <c r="B907" t="s">
        <v>2909</v>
      </c>
      <c r="C907">
        <v>48</v>
      </c>
      <c r="D907" t="s">
        <v>1328</v>
      </c>
      <c r="E907" t="s">
        <v>1478</v>
      </c>
      <c r="F907" t="s">
        <v>1391</v>
      </c>
      <c r="G907">
        <v>8138196879</v>
      </c>
    </row>
    <row r="908" spans="1:7" x14ac:dyDescent="0.3">
      <c r="A908" t="s">
        <v>2910</v>
      </c>
      <c r="B908" t="s">
        <v>2911</v>
      </c>
      <c r="C908">
        <v>62</v>
      </c>
      <c r="D908" t="s">
        <v>1336</v>
      </c>
      <c r="E908" t="s">
        <v>1511</v>
      </c>
      <c r="F908" t="s">
        <v>1419</v>
      </c>
      <c r="G908">
        <v>9679424649</v>
      </c>
    </row>
    <row r="909" spans="1:7" x14ac:dyDescent="0.3">
      <c r="A909" t="s">
        <v>2912</v>
      </c>
      <c r="B909" t="s">
        <v>2913</v>
      </c>
      <c r="C909">
        <v>32</v>
      </c>
      <c r="D909" t="s">
        <v>1336</v>
      </c>
      <c r="E909" t="s">
        <v>1332</v>
      </c>
      <c r="F909" t="s">
        <v>1333</v>
      </c>
      <c r="G909">
        <v>8214157985</v>
      </c>
    </row>
    <row r="910" spans="1:7" x14ac:dyDescent="0.3">
      <c r="A910" t="s">
        <v>2914</v>
      </c>
      <c r="B910" t="s">
        <v>2915</v>
      </c>
      <c r="C910">
        <v>28</v>
      </c>
      <c r="D910" t="s">
        <v>1328</v>
      </c>
      <c r="E910" t="s">
        <v>1332</v>
      </c>
      <c r="F910" t="s">
        <v>1333</v>
      </c>
      <c r="G910">
        <v>7646577549</v>
      </c>
    </row>
    <row r="911" spans="1:7" x14ac:dyDescent="0.3">
      <c r="A911" t="s">
        <v>2916</v>
      </c>
      <c r="B911" t="s">
        <v>2917</v>
      </c>
      <c r="C911">
        <v>41</v>
      </c>
      <c r="D911" t="s">
        <v>1336</v>
      </c>
      <c r="E911" t="s">
        <v>1511</v>
      </c>
      <c r="F911" t="s">
        <v>1419</v>
      </c>
      <c r="G911">
        <v>9845431091</v>
      </c>
    </row>
    <row r="912" spans="1:7" x14ac:dyDescent="0.3">
      <c r="A912" t="s">
        <v>1148</v>
      </c>
      <c r="B912" t="s">
        <v>2918</v>
      </c>
      <c r="C912">
        <v>56</v>
      </c>
      <c r="D912" t="s">
        <v>1328</v>
      </c>
      <c r="E912" t="s">
        <v>1451</v>
      </c>
      <c r="F912" t="s">
        <v>1445</v>
      </c>
      <c r="G912">
        <v>6167876220</v>
      </c>
    </row>
    <row r="913" spans="1:7" x14ac:dyDescent="0.3">
      <c r="A913" t="s">
        <v>674</v>
      </c>
      <c r="B913" t="s">
        <v>2919</v>
      </c>
      <c r="C913">
        <v>38</v>
      </c>
      <c r="D913" t="s">
        <v>1328</v>
      </c>
      <c r="E913" t="s">
        <v>1381</v>
      </c>
      <c r="F913" t="s">
        <v>1352</v>
      </c>
      <c r="G913">
        <v>8368388112</v>
      </c>
    </row>
    <row r="914" spans="1:7" x14ac:dyDescent="0.3">
      <c r="A914" t="s">
        <v>2920</v>
      </c>
      <c r="B914" t="s">
        <v>2921</v>
      </c>
      <c r="C914">
        <v>56</v>
      </c>
      <c r="D914" t="s">
        <v>1336</v>
      </c>
      <c r="E914" t="s">
        <v>1397</v>
      </c>
      <c r="F914" t="s">
        <v>1333</v>
      </c>
      <c r="G914">
        <v>7154327435</v>
      </c>
    </row>
    <row r="915" spans="1:7" x14ac:dyDescent="0.3">
      <c r="A915" t="s">
        <v>2922</v>
      </c>
      <c r="B915" t="s">
        <v>2923</v>
      </c>
      <c r="C915">
        <v>28</v>
      </c>
      <c r="D915" t="s">
        <v>1328</v>
      </c>
      <c r="E915" t="s">
        <v>1478</v>
      </c>
      <c r="F915" t="s">
        <v>1391</v>
      </c>
      <c r="G915">
        <v>6393974897</v>
      </c>
    </row>
    <row r="916" spans="1:7" x14ac:dyDescent="0.3">
      <c r="A916" t="s">
        <v>2924</v>
      </c>
      <c r="B916" t="s">
        <v>2925</v>
      </c>
      <c r="C916">
        <v>64</v>
      </c>
      <c r="D916" t="s">
        <v>1336</v>
      </c>
      <c r="E916" t="s">
        <v>1463</v>
      </c>
      <c r="F916" t="s">
        <v>1391</v>
      </c>
      <c r="G916">
        <v>8624276059</v>
      </c>
    </row>
    <row r="917" spans="1:7" x14ac:dyDescent="0.3">
      <c r="A917" t="s">
        <v>2926</v>
      </c>
      <c r="B917" t="s">
        <v>2927</v>
      </c>
      <c r="C917">
        <v>18</v>
      </c>
      <c r="D917" t="s">
        <v>1336</v>
      </c>
      <c r="E917" t="s">
        <v>1451</v>
      </c>
      <c r="F917" t="s">
        <v>1445</v>
      </c>
      <c r="G917">
        <v>9543978581</v>
      </c>
    </row>
    <row r="918" spans="1:7" x14ac:dyDescent="0.3">
      <c r="A918" t="s">
        <v>2928</v>
      </c>
      <c r="B918" t="s">
        <v>2929</v>
      </c>
      <c r="C918">
        <v>45</v>
      </c>
      <c r="D918" t="s">
        <v>1336</v>
      </c>
      <c r="E918" t="s">
        <v>1415</v>
      </c>
      <c r="F918" t="s">
        <v>1348</v>
      </c>
      <c r="G918">
        <v>9492713749</v>
      </c>
    </row>
    <row r="919" spans="1:7" x14ac:dyDescent="0.3">
      <c r="A919" t="s">
        <v>2930</v>
      </c>
      <c r="B919" t="s">
        <v>2931</v>
      </c>
      <c r="C919">
        <v>25</v>
      </c>
      <c r="D919" t="s">
        <v>1328</v>
      </c>
      <c r="E919" t="s">
        <v>1377</v>
      </c>
      <c r="F919" t="s">
        <v>1368</v>
      </c>
      <c r="G919">
        <v>6780657856</v>
      </c>
    </row>
    <row r="920" spans="1:7" x14ac:dyDescent="0.3">
      <c r="A920" t="s">
        <v>2932</v>
      </c>
      <c r="B920" t="s">
        <v>2933</v>
      </c>
      <c r="C920">
        <v>44</v>
      </c>
      <c r="D920" t="s">
        <v>1336</v>
      </c>
      <c r="E920" t="s">
        <v>1441</v>
      </c>
      <c r="F920" t="s">
        <v>1394</v>
      </c>
      <c r="G920">
        <v>9660035382</v>
      </c>
    </row>
    <row r="921" spans="1:7" x14ac:dyDescent="0.3">
      <c r="A921" t="s">
        <v>2934</v>
      </c>
      <c r="B921" t="s">
        <v>2935</v>
      </c>
      <c r="C921">
        <v>37</v>
      </c>
      <c r="D921" t="s">
        <v>1336</v>
      </c>
      <c r="E921" t="s">
        <v>1504</v>
      </c>
      <c r="F921" t="s">
        <v>1394</v>
      </c>
      <c r="G921">
        <v>6771732367</v>
      </c>
    </row>
    <row r="922" spans="1:7" x14ac:dyDescent="0.3">
      <c r="A922" t="s">
        <v>587</v>
      </c>
      <c r="B922" t="s">
        <v>2936</v>
      </c>
      <c r="C922">
        <v>40</v>
      </c>
      <c r="D922" t="s">
        <v>1328</v>
      </c>
      <c r="E922" t="s">
        <v>1466</v>
      </c>
      <c r="F922" t="s">
        <v>1338</v>
      </c>
      <c r="G922">
        <v>9313879808</v>
      </c>
    </row>
    <row r="923" spans="1:7" x14ac:dyDescent="0.3">
      <c r="A923" t="s">
        <v>2937</v>
      </c>
      <c r="B923" t="s">
        <v>2938</v>
      </c>
      <c r="C923">
        <v>50</v>
      </c>
      <c r="D923" t="s">
        <v>1336</v>
      </c>
      <c r="E923" t="s">
        <v>1397</v>
      </c>
      <c r="F923" t="s">
        <v>1333</v>
      </c>
      <c r="G923">
        <v>7330906957</v>
      </c>
    </row>
    <row r="924" spans="1:7" x14ac:dyDescent="0.3">
      <c r="A924" t="s">
        <v>395</v>
      </c>
      <c r="B924" t="s">
        <v>2939</v>
      </c>
      <c r="C924">
        <v>28</v>
      </c>
      <c r="D924" t="s">
        <v>1328</v>
      </c>
      <c r="E924" t="s">
        <v>1478</v>
      </c>
      <c r="F924" t="s">
        <v>1391</v>
      </c>
      <c r="G924">
        <v>7080066728</v>
      </c>
    </row>
    <row r="925" spans="1:7" x14ac:dyDescent="0.3">
      <c r="A925" t="s">
        <v>2940</v>
      </c>
      <c r="B925" t="s">
        <v>2941</v>
      </c>
      <c r="C925">
        <v>24</v>
      </c>
      <c r="D925" t="s">
        <v>1336</v>
      </c>
      <c r="E925" t="s">
        <v>1367</v>
      </c>
      <c r="F925" t="s">
        <v>1368</v>
      </c>
      <c r="G925">
        <v>7580861438</v>
      </c>
    </row>
    <row r="926" spans="1:7" x14ac:dyDescent="0.3">
      <c r="A926" t="s">
        <v>753</v>
      </c>
      <c r="B926" t="s">
        <v>2942</v>
      </c>
      <c r="C926">
        <v>30</v>
      </c>
      <c r="D926" t="s">
        <v>1336</v>
      </c>
      <c r="E926" t="s">
        <v>1483</v>
      </c>
      <c r="F926" t="s">
        <v>1368</v>
      </c>
      <c r="G926">
        <v>7381649075</v>
      </c>
    </row>
    <row r="927" spans="1:7" x14ac:dyDescent="0.3">
      <c r="A927" t="s">
        <v>2943</v>
      </c>
      <c r="B927" t="s">
        <v>2944</v>
      </c>
      <c r="C927">
        <v>25</v>
      </c>
      <c r="D927" t="s">
        <v>1336</v>
      </c>
      <c r="E927" t="s">
        <v>1383</v>
      </c>
      <c r="F927" t="s">
        <v>1338</v>
      </c>
      <c r="G927">
        <v>8176604132</v>
      </c>
    </row>
    <row r="928" spans="1:7" x14ac:dyDescent="0.3">
      <c r="A928" t="s">
        <v>2945</v>
      </c>
      <c r="B928" t="s">
        <v>2946</v>
      </c>
      <c r="C928">
        <v>33</v>
      </c>
      <c r="D928" t="s">
        <v>1336</v>
      </c>
      <c r="E928" t="s">
        <v>1390</v>
      </c>
      <c r="F928" t="s">
        <v>1391</v>
      </c>
      <c r="G928">
        <v>9116243381</v>
      </c>
    </row>
    <row r="929" spans="1:7" x14ac:dyDescent="0.3">
      <c r="A929" t="s">
        <v>1174</v>
      </c>
      <c r="B929" t="s">
        <v>2947</v>
      </c>
      <c r="C929">
        <v>48</v>
      </c>
      <c r="D929" t="s">
        <v>1328</v>
      </c>
      <c r="E929" t="s">
        <v>1408</v>
      </c>
      <c r="F929" t="s">
        <v>1409</v>
      </c>
      <c r="G929">
        <v>9432195478</v>
      </c>
    </row>
    <row r="930" spans="1:7" x14ac:dyDescent="0.3">
      <c r="A930" t="s">
        <v>2948</v>
      </c>
      <c r="B930" t="s">
        <v>2949</v>
      </c>
      <c r="C930">
        <v>52</v>
      </c>
      <c r="D930" t="s">
        <v>1328</v>
      </c>
      <c r="E930" t="s">
        <v>1483</v>
      </c>
      <c r="F930" t="s">
        <v>1368</v>
      </c>
      <c r="G930">
        <v>7341102633</v>
      </c>
    </row>
    <row r="931" spans="1:7" x14ac:dyDescent="0.3">
      <c r="A931" t="s">
        <v>1050</v>
      </c>
      <c r="B931" t="s">
        <v>2950</v>
      </c>
      <c r="C931">
        <v>28</v>
      </c>
      <c r="D931" t="s">
        <v>1336</v>
      </c>
      <c r="E931" t="s">
        <v>1393</v>
      </c>
      <c r="F931" t="s">
        <v>1394</v>
      </c>
      <c r="G931">
        <v>9156365572</v>
      </c>
    </row>
    <row r="932" spans="1:7" x14ac:dyDescent="0.3">
      <c r="A932" t="s">
        <v>2951</v>
      </c>
      <c r="B932" t="s">
        <v>2952</v>
      </c>
      <c r="C932">
        <v>63</v>
      </c>
      <c r="D932" t="s">
        <v>1328</v>
      </c>
      <c r="E932" t="s">
        <v>1381</v>
      </c>
      <c r="F932" t="s">
        <v>1352</v>
      </c>
      <c r="G932">
        <v>6745210878</v>
      </c>
    </row>
    <row r="933" spans="1:7" x14ac:dyDescent="0.3">
      <c r="A933" t="s">
        <v>2953</v>
      </c>
      <c r="B933" t="s">
        <v>2954</v>
      </c>
      <c r="C933">
        <v>25</v>
      </c>
      <c r="D933" t="s">
        <v>1328</v>
      </c>
      <c r="E933" t="s">
        <v>1432</v>
      </c>
      <c r="F933" t="s">
        <v>1342</v>
      </c>
      <c r="G933">
        <v>8649162394</v>
      </c>
    </row>
    <row r="934" spans="1:7" x14ac:dyDescent="0.3">
      <c r="A934" t="s">
        <v>2955</v>
      </c>
      <c r="B934" t="s">
        <v>2956</v>
      </c>
      <c r="C934">
        <v>47</v>
      </c>
      <c r="D934" t="s">
        <v>1336</v>
      </c>
      <c r="E934" t="s">
        <v>1411</v>
      </c>
      <c r="F934" t="s">
        <v>1356</v>
      </c>
      <c r="G934">
        <v>7972331206</v>
      </c>
    </row>
    <row r="935" spans="1:7" x14ac:dyDescent="0.3">
      <c r="A935" t="s">
        <v>2957</v>
      </c>
      <c r="B935" t="s">
        <v>2958</v>
      </c>
      <c r="C935">
        <v>60</v>
      </c>
      <c r="D935" t="s">
        <v>1328</v>
      </c>
      <c r="E935" t="s">
        <v>1511</v>
      </c>
      <c r="F935" t="s">
        <v>1419</v>
      </c>
      <c r="G935">
        <v>8910560095</v>
      </c>
    </row>
    <row r="936" spans="1:7" x14ac:dyDescent="0.3">
      <c r="A936" t="s">
        <v>803</v>
      </c>
      <c r="B936" t="s">
        <v>2959</v>
      </c>
      <c r="C936">
        <v>30</v>
      </c>
      <c r="D936" t="s">
        <v>1336</v>
      </c>
      <c r="E936" t="s">
        <v>1413</v>
      </c>
      <c r="F936" t="s">
        <v>1348</v>
      </c>
      <c r="G936">
        <v>8972676505</v>
      </c>
    </row>
    <row r="937" spans="1:7" x14ac:dyDescent="0.3">
      <c r="A937" t="s">
        <v>361</v>
      </c>
      <c r="B937" t="s">
        <v>2960</v>
      </c>
      <c r="C937">
        <v>62</v>
      </c>
      <c r="D937" t="s">
        <v>1336</v>
      </c>
      <c r="E937" t="s">
        <v>1347</v>
      </c>
      <c r="F937" t="s">
        <v>1348</v>
      </c>
      <c r="G937">
        <v>6183439393</v>
      </c>
    </row>
    <row r="938" spans="1:7" x14ac:dyDescent="0.3">
      <c r="A938" t="s">
        <v>2961</v>
      </c>
      <c r="B938" t="s">
        <v>2962</v>
      </c>
      <c r="C938">
        <v>28</v>
      </c>
      <c r="D938" t="s">
        <v>1328</v>
      </c>
      <c r="E938" t="s">
        <v>1563</v>
      </c>
      <c r="F938" t="s">
        <v>1356</v>
      </c>
      <c r="G938">
        <v>9818017467</v>
      </c>
    </row>
    <row r="939" spans="1:7" x14ac:dyDescent="0.3">
      <c r="A939" t="s">
        <v>2963</v>
      </c>
      <c r="B939" t="s">
        <v>2964</v>
      </c>
      <c r="C939">
        <v>39</v>
      </c>
      <c r="D939" t="s">
        <v>1328</v>
      </c>
      <c r="E939" t="s">
        <v>1438</v>
      </c>
      <c r="F939" t="s">
        <v>1419</v>
      </c>
      <c r="G939">
        <v>8735935331</v>
      </c>
    </row>
    <row r="940" spans="1:7" x14ac:dyDescent="0.3">
      <c r="A940" t="s">
        <v>2965</v>
      </c>
      <c r="B940" t="s">
        <v>2966</v>
      </c>
      <c r="C940">
        <v>39</v>
      </c>
      <c r="D940" t="s">
        <v>1336</v>
      </c>
      <c r="E940" t="s">
        <v>1403</v>
      </c>
      <c r="F940" t="s">
        <v>1362</v>
      </c>
      <c r="G940">
        <v>8692077678</v>
      </c>
    </row>
    <row r="941" spans="1:7" x14ac:dyDescent="0.3">
      <c r="A941" t="s">
        <v>2967</v>
      </c>
      <c r="B941" t="s">
        <v>2968</v>
      </c>
      <c r="C941">
        <v>57</v>
      </c>
      <c r="D941" t="s">
        <v>1328</v>
      </c>
      <c r="E941" t="s">
        <v>1413</v>
      </c>
      <c r="F941" t="s">
        <v>1348</v>
      </c>
      <c r="G941">
        <v>9628132581</v>
      </c>
    </row>
    <row r="942" spans="1:7" x14ac:dyDescent="0.3">
      <c r="A942" t="s">
        <v>94</v>
      </c>
      <c r="B942" t="s">
        <v>2969</v>
      </c>
      <c r="C942">
        <v>27</v>
      </c>
      <c r="D942" t="s">
        <v>1336</v>
      </c>
      <c r="E942" t="s">
        <v>1418</v>
      </c>
      <c r="F942" t="s">
        <v>1419</v>
      </c>
      <c r="G942">
        <v>7910547744</v>
      </c>
    </row>
    <row r="943" spans="1:7" x14ac:dyDescent="0.3">
      <c r="A943" t="s">
        <v>2970</v>
      </c>
      <c r="B943" t="s">
        <v>2971</v>
      </c>
      <c r="C943">
        <v>20</v>
      </c>
      <c r="D943" t="s">
        <v>1336</v>
      </c>
      <c r="E943" t="s">
        <v>1388</v>
      </c>
      <c r="F943" t="s">
        <v>1342</v>
      </c>
      <c r="G943">
        <v>8758322975</v>
      </c>
    </row>
    <row r="944" spans="1:7" x14ac:dyDescent="0.3">
      <c r="A944" t="s">
        <v>2972</v>
      </c>
      <c r="B944" t="s">
        <v>2973</v>
      </c>
      <c r="C944">
        <v>44</v>
      </c>
      <c r="D944" t="s">
        <v>1336</v>
      </c>
      <c r="E944" t="s">
        <v>1425</v>
      </c>
      <c r="F944" t="s">
        <v>1409</v>
      </c>
      <c r="G944">
        <v>8418901049</v>
      </c>
    </row>
    <row r="945" spans="1:7" x14ac:dyDescent="0.3">
      <c r="A945" t="s">
        <v>2974</v>
      </c>
      <c r="B945" t="s">
        <v>2975</v>
      </c>
      <c r="C945">
        <v>49</v>
      </c>
      <c r="D945" t="s">
        <v>1328</v>
      </c>
      <c r="E945" t="s">
        <v>1337</v>
      </c>
      <c r="F945" t="s">
        <v>1338</v>
      </c>
      <c r="G945">
        <v>6453066496</v>
      </c>
    </row>
    <row r="946" spans="1:7" x14ac:dyDescent="0.3">
      <c r="A946" t="s">
        <v>2976</v>
      </c>
      <c r="B946" t="s">
        <v>2977</v>
      </c>
      <c r="C946">
        <v>38</v>
      </c>
      <c r="D946" t="s">
        <v>1328</v>
      </c>
      <c r="E946" t="s">
        <v>1815</v>
      </c>
      <c r="F946" t="s">
        <v>1400</v>
      </c>
      <c r="G946">
        <v>7280954308</v>
      </c>
    </row>
    <row r="947" spans="1:7" x14ac:dyDescent="0.3">
      <c r="A947" t="s">
        <v>2978</v>
      </c>
      <c r="B947" t="s">
        <v>2979</v>
      </c>
      <c r="C947">
        <v>19</v>
      </c>
      <c r="D947" t="s">
        <v>1336</v>
      </c>
      <c r="E947" t="s">
        <v>1415</v>
      </c>
      <c r="F947" t="s">
        <v>1348</v>
      </c>
      <c r="G947">
        <v>7612658069</v>
      </c>
    </row>
    <row r="948" spans="1:7" x14ac:dyDescent="0.3">
      <c r="A948" t="s">
        <v>2980</v>
      </c>
      <c r="B948" t="s">
        <v>2981</v>
      </c>
      <c r="C948">
        <v>48</v>
      </c>
      <c r="D948" t="s">
        <v>1328</v>
      </c>
      <c r="E948" t="s">
        <v>1456</v>
      </c>
      <c r="F948" t="s">
        <v>1394</v>
      </c>
      <c r="G948">
        <v>7906998006</v>
      </c>
    </row>
    <row r="949" spans="1:7" x14ac:dyDescent="0.3">
      <c r="A949" t="s">
        <v>2982</v>
      </c>
      <c r="B949" t="s">
        <v>2983</v>
      </c>
      <c r="C949">
        <v>55</v>
      </c>
      <c r="D949" t="s">
        <v>1328</v>
      </c>
      <c r="E949" t="s">
        <v>1478</v>
      </c>
      <c r="F949" t="s">
        <v>1391</v>
      </c>
      <c r="G949">
        <v>9926382147</v>
      </c>
    </row>
    <row r="950" spans="1:7" x14ac:dyDescent="0.3">
      <c r="A950" t="s">
        <v>161</v>
      </c>
      <c r="B950" t="s">
        <v>2984</v>
      </c>
      <c r="C950">
        <v>64</v>
      </c>
      <c r="D950" t="s">
        <v>1336</v>
      </c>
      <c r="E950" t="s">
        <v>1345</v>
      </c>
      <c r="F950" t="s">
        <v>1330</v>
      </c>
      <c r="G950">
        <v>6371479688</v>
      </c>
    </row>
    <row r="951" spans="1:7" x14ac:dyDescent="0.3">
      <c r="A951" t="s">
        <v>2985</v>
      </c>
      <c r="B951" t="s">
        <v>2986</v>
      </c>
      <c r="C951">
        <v>28</v>
      </c>
      <c r="D951" t="s">
        <v>1336</v>
      </c>
      <c r="E951" t="s">
        <v>1361</v>
      </c>
      <c r="F951" t="s">
        <v>1362</v>
      </c>
      <c r="G951">
        <v>9185467134</v>
      </c>
    </row>
    <row r="952" spans="1:7" x14ac:dyDescent="0.3">
      <c r="A952" t="s">
        <v>1316</v>
      </c>
      <c r="B952" t="s">
        <v>2987</v>
      </c>
      <c r="C952">
        <v>55</v>
      </c>
      <c r="D952" t="s">
        <v>1336</v>
      </c>
      <c r="E952" t="s">
        <v>1381</v>
      </c>
      <c r="F952" t="s">
        <v>1352</v>
      </c>
      <c r="G952">
        <v>9439824473</v>
      </c>
    </row>
    <row r="953" spans="1:7" x14ac:dyDescent="0.3">
      <c r="A953" t="s">
        <v>2988</v>
      </c>
      <c r="B953" t="s">
        <v>2989</v>
      </c>
      <c r="C953">
        <v>19</v>
      </c>
      <c r="D953" t="s">
        <v>1328</v>
      </c>
      <c r="E953" t="s">
        <v>1451</v>
      </c>
      <c r="F953" t="s">
        <v>1445</v>
      </c>
      <c r="G953">
        <v>8703009901</v>
      </c>
    </row>
    <row r="954" spans="1:7" x14ac:dyDescent="0.3">
      <c r="A954" t="s">
        <v>948</v>
      </c>
      <c r="B954" t="s">
        <v>2990</v>
      </c>
      <c r="C954">
        <v>43</v>
      </c>
      <c r="D954" t="s">
        <v>1336</v>
      </c>
      <c r="E954" t="s">
        <v>1511</v>
      </c>
      <c r="F954" t="s">
        <v>1419</v>
      </c>
      <c r="G954">
        <v>6695755059</v>
      </c>
    </row>
    <row r="955" spans="1:7" x14ac:dyDescent="0.3">
      <c r="A955" t="s">
        <v>2991</v>
      </c>
      <c r="B955" t="s">
        <v>2992</v>
      </c>
      <c r="C955">
        <v>19</v>
      </c>
      <c r="D955" t="s">
        <v>1328</v>
      </c>
      <c r="E955" t="s">
        <v>1413</v>
      </c>
      <c r="F955" t="s">
        <v>1348</v>
      </c>
      <c r="G955">
        <v>6907697032</v>
      </c>
    </row>
    <row r="956" spans="1:7" x14ac:dyDescent="0.3">
      <c r="A956" t="s">
        <v>2993</v>
      </c>
      <c r="B956" t="s">
        <v>2994</v>
      </c>
      <c r="C956">
        <v>59</v>
      </c>
      <c r="D956" t="s">
        <v>1336</v>
      </c>
      <c r="E956" t="s">
        <v>1418</v>
      </c>
      <c r="F956" t="s">
        <v>1419</v>
      </c>
      <c r="G956">
        <v>9923193607</v>
      </c>
    </row>
    <row r="957" spans="1:7" x14ac:dyDescent="0.3">
      <c r="A957" t="s">
        <v>2995</v>
      </c>
      <c r="B957" t="s">
        <v>2996</v>
      </c>
      <c r="C957">
        <v>25</v>
      </c>
      <c r="D957" t="s">
        <v>1336</v>
      </c>
      <c r="E957" t="s">
        <v>1377</v>
      </c>
      <c r="F957" t="s">
        <v>1368</v>
      </c>
      <c r="G957">
        <v>7239825669</v>
      </c>
    </row>
    <row r="958" spans="1:7" x14ac:dyDescent="0.3">
      <c r="A958" t="s">
        <v>841</v>
      </c>
      <c r="B958" t="s">
        <v>2997</v>
      </c>
      <c r="C958">
        <v>53</v>
      </c>
      <c r="D958" t="s">
        <v>1328</v>
      </c>
      <c r="E958" t="s">
        <v>1403</v>
      </c>
      <c r="F958" t="s">
        <v>1362</v>
      </c>
      <c r="G958">
        <v>6562323834</v>
      </c>
    </row>
    <row r="959" spans="1:7" x14ac:dyDescent="0.3">
      <c r="A959" t="s">
        <v>914</v>
      </c>
      <c r="B959" t="s">
        <v>2998</v>
      </c>
      <c r="C959">
        <v>22</v>
      </c>
      <c r="D959" t="s">
        <v>1328</v>
      </c>
      <c r="E959" t="s">
        <v>1511</v>
      </c>
      <c r="F959" t="s">
        <v>1419</v>
      </c>
      <c r="G959">
        <v>7136647820</v>
      </c>
    </row>
    <row r="960" spans="1:7" x14ac:dyDescent="0.3">
      <c r="A960" t="s">
        <v>2999</v>
      </c>
      <c r="B960" t="s">
        <v>3000</v>
      </c>
      <c r="C960">
        <v>53</v>
      </c>
      <c r="D960" t="s">
        <v>1328</v>
      </c>
      <c r="E960" t="s">
        <v>1425</v>
      </c>
      <c r="F960" t="s">
        <v>1409</v>
      </c>
      <c r="G960">
        <v>9027909233</v>
      </c>
    </row>
    <row r="961" spans="1:7" x14ac:dyDescent="0.3">
      <c r="A961" t="s">
        <v>3001</v>
      </c>
      <c r="B961" t="s">
        <v>3002</v>
      </c>
      <c r="C961">
        <v>46</v>
      </c>
      <c r="D961" t="s">
        <v>1328</v>
      </c>
      <c r="E961" t="s">
        <v>1365</v>
      </c>
      <c r="F961" t="s">
        <v>1352</v>
      </c>
      <c r="G961">
        <v>8212502335</v>
      </c>
    </row>
    <row r="962" spans="1:7" x14ac:dyDescent="0.3">
      <c r="A962" t="s">
        <v>3003</v>
      </c>
      <c r="B962" t="s">
        <v>3004</v>
      </c>
      <c r="C962">
        <v>49</v>
      </c>
      <c r="D962" t="s">
        <v>1336</v>
      </c>
      <c r="E962" t="s">
        <v>1602</v>
      </c>
      <c r="F962" t="s">
        <v>1400</v>
      </c>
      <c r="G962">
        <v>9532940410</v>
      </c>
    </row>
    <row r="963" spans="1:7" x14ac:dyDescent="0.3">
      <c r="A963" t="s">
        <v>3005</v>
      </c>
      <c r="B963" t="s">
        <v>3006</v>
      </c>
      <c r="C963">
        <v>31</v>
      </c>
      <c r="D963" t="s">
        <v>1336</v>
      </c>
      <c r="E963" t="s">
        <v>1649</v>
      </c>
      <c r="F963" t="s">
        <v>1391</v>
      </c>
      <c r="G963">
        <v>8247413109</v>
      </c>
    </row>
    <row r="964" spans="1:7" x14ac:dyDescent="0.3">
      <c r="A964" t="s">
        <v>3007</v>
      </c>
      <c r="B964" t="s">
        <v>3008</v>
      </c>
      <c r="C964">
        <v>29</v>
      </c>
      <c r="D964" t="s">
        <v>1328</v>
      </c>
      <c r="E964" t="s">
        <v>1466</v>
      </c>
      <c r="F964" t="s">
        <v>1338</v>
      </c>
      <c r="G964">
        <v>6471548029</v>
      </c>
    </row>
    <row r="965" spans="1:7" x14ac:dyDescent="0.3">
      <c r="A965" t="s">
        <v>3009</v>
      </c>
      <c r="B965" t="s">
        <v>3010</v>
      </c>
      <c r="C965">
        <v>20</v>
      </c>
      <c r="D965" t="s">
        <v>1336</v>
      </c>
      <c r="E965" t="s">
        <v>1483</v>
      </c>
      <c r="F965" t="s">
        <v>1368</v>
      </c>
      <c r="G965">
        <v>6726025925</v>
      </c>
    </row>
    <row r="966" spans="1:7" x14ac:dyDescent="0.3">
      <c r="A966" t="s">
        <v>3011</v>
      </c>
      <c r="B966" t="s">
        <v>3012</v>
      </c>
      <c r="C966">
        <v>57</v>
      </c>
      <c r="D966" t="s">
        <v>1336</v>
      </c>
      <c r="E966" t="s">
        <v>1456</v>
      </c>
      <c r="F966" t="s">
        <v>1394</v>
      </c>
      <c r="G966">
        <v>8436479336</v>
      </c>
    </row>
    <row r="967" spans="1:7" x14ac:dyDescent="0.3">
      <c r="A967" t="s">
        <v>871</v>
      </c>
      <c r="B967" t="s">
        <v>3013</v>
      </c>
      <c r="C967">
        <v>63</v>
      </c>
      <c r="D967" t="s">
        <v>1328</v>
      </c>
      <c r="E967" t="s">
        <v>1415</v>
      </c>
      <c r="F967" t="s">
        <v>1348</v>
      </c>
      <c r="G967">
        <v>6271114980</v>
      </c>
    </row>
    <row r="968" spans="1:7" x14ac:dyDescent="0.3">
      <c r="A968" t="s">
        <v>3014</v>
      </c>
      <c r="B968" t="s">
        <v>3015</v>
      </c>
      <c r="C968">
        <v>53</v>
      </c>
      <c r="D968" t="s">
        <v>1336</v>
      </c>
      <c r="E968" t="s">
        <v>1365</v>
      </c>
      <c r="F968" t="s">
        <v>1352</v>
      </c>
      <c r="G968">
        <v>6414472884</v>
      </c>
    </row>
    <row r="969" spans="1:7" x14ac:dyDescent="0.3">
      <c r="A969" t="s">
        <v>3016</v>
      </c>
      <c r="B969" t="s">
        <v>3017</v>
      </c>
      <c r="C969">
        <v>47</v>
      </c>
      <c r="D969" t="s">
        <v>1336</v>
      </c>
      <c r="E969" t="s">
        <v>1367</v>
      </c>
      <c r="F969" t="s">
        <v>1368</v>
      </c>
      <c r="G969">
        <v>7151166329</v>
      </c>
    </row>
    <row r="970" spans="1:7" x14ac:dyDescent="0.3">
      <c r="A970" t="s">
        <v>1182</v>
      </c>
      <c r="B970" t="s">
        <v>3018</v>
      </c>
      <c r="C970">
        <v>54</v>
      </c>
      <c r="D970" t="s">
        <v>1328</v>
      </c>
      <c r="E970" t="s">
        <v>1475</v>
      </c>
      <c r="F970" t="s">
        <v>1419</v>
      </c>
      <c r="G970">
        <v>8243696357</v>
      </c>
    </row>
    <row r="971" spans="1:7" x14ac:dyDescent="0.3">
      <c r="A971" t="s">
        <v>1292</v>
      </c>
      <c r="B971" t="s">
        <v>3019</v>
      </c>
      <c r="C971">
        <v>43</v>
      </c>
      <c r="D971" t="s">
        <v>1336</v>
      </c>
      <c r="E971" t="s">
        <v>1747</v>
      </c>
      <c r="F971" t="s">
        <v>1391</v>
      </c>
      <c r="G971">
        <v>7795197405</v>
      </c>
    </row>
    <row r="972" spans="1:7" x14ac:dyDescent="0.3">
      <c r="A972" t="s">
        <v>353</v>
      </c>
      <c r="B972" t="s">
        <v>3020</v>
      </c>
      <c r="C972">
        <v>44</v>
      </c>
      <c r="D972" t="s">
        <v>1336</v>
      </c>
      <c r="E972" t="s">
        <v>1388</v>
      </c>
      <c r="F972" t="s">
        <v>1342</v>
      </c>
      <c r="G972">
        <v>7377409756</v>
      </c>
    </row>
    <row r="973" spans="1:7" x14ac:dyDescent="0.3">
      <c r="A973" t="s">
        <v>3021</v>
      </c>
      <c r="B973" t="s">
        <v>3022</v>
      </c>
      <c r="C973">
        <v>61</v>
      </c>
      <c r="D973" t="s">
        <v>1336</v>
      </c>
      <c r="E973" t="s">
        <v>1341</v>
      </c>
      <c r="F973" t="s">
        <v>1342</v>
      </c>
      <c r="G973">
        <v>9012920300</v>
      </c>
    </row>
    <row r="974" spans="1:7" x14ac:dyDescent="0.3">
      <c r="A974" t="s">
        <v>3023</v>
      </c>
      <c r="B974" t="s">
        <v>3024</v>
      </c>
      <c r="C974">
        <v>31</v>
      </c>
      <c r="D974" t="s">
        <v>1336</v>
      </c>
      <c r="E974" t="s">
        <v>1563</v>
      </c>
      <c r="F974" t="s">
        <v>1356</v>
      </c>
      <c r="G974">
        <v>6723548717</v>
      </c>
    </row>
    <row r="975" spans="1:7" x14ac:dyDescent="0.3">
      <c r="A975" t="s">
        <v>3025</v>
      </c>
      <c r="B975" t="s">
        <v>3026</v>
      </c>
      <c r="C975">
        <v>51</v>
      </c>
      <c r="D975" t="s">
        <v>1328</v>
      </c>
      <c r="E975" t="s">
        <v>1383</v>
      </c>
      <c r="F975" t="s">
        <v>1338</v>
      </c>
      <c r="G975">
        <v>9956674651</v>
      </c>
    </row>
    <row r="976" spans="1:7" x14ac:dyDescent="0.3">
      <c r="A976" t="s">
        <v>230</v>
      </c>
      <c r="B976" t="s">
        <v>3027</v>
      </c>
      <c r="C976">
        <v>55</v>
      </c>
      <c r="D976" t="s">
        <v>1336</v>
      </c>
      <c r="E976" t="s">
        <v>1393</v>
      </c>
      <c r="F976" t="s">
        <v>1394</v>
      </c>
      <c r="G976">
        <v>9290441902</v>
      </c>
    </row>
    <row r="977" spans="1:7" x14ac:dyDescent="0.3">
      <c r="A977" t="s">
        <v>3028</v>
      </c>
      <c r="B977" t="s">
        <v>3029</v>
      </c>
      <c r="C977">
        <v>36</v>
      </c>
      <c r="D977" t="s">
        <v>1328</v>
      </c>
      <c r="E977" t="s">
        <v>1337</v>
      </c>
      <c r="F977" t="s">
        <v>1338</v>
      </c>
      <c r="G977">
        <v>7995817326</v>
      </c>
    </row>
    <row r="978" spans="1:7" x14ac:dyDescent="0.3">
      <c r="A978" t="s">
        <v>1234</v>
      </c>
      <c r="B978" t="s">
        <v>3030</v>
      </c>
      <c r="C978">
        <v>27</v>
      </c>
      <c r="D978" t="s">
        <v>1336</v>
      </c>
      <c r="E978" t="s">
        <v>1637</v>
      </c>
      <c r="F978" t="s">
        <v>1368</v>
      </c>
      <c r="G978">
        <v>9119325750</v>
      </c>
    </row>
    <row r="979" spans="1:7" x14ac:dyDescent="0.3">
      <c r="A979" t="s">
        <v>3031</v>
      </c>
      <c r="B979" t="s">
        <v>3032</v>
      </c>
      <c r="C979">
        <v>24</v>
      </c>
      <c r="D979" t="s">
        <v>1328</v>
      </c>
      <c r="E979" t="s">
        <v>1365</v>
      </c>
      <c r="F979" t="s">
        <v>1352</v>
      </c>
      <c r="G979">
        <v>8346136647</v>
      </c>
    </row>
    <row r="980" spans="1:7" x14ac:dyDescent="0.3">
      <c r="A980" t="s">
        <v>3033</v>
      </c>
      <c r="B980" t="s">
        <v>3034</v>
      </c>
      <c r="C980">
        <v>25</v>
      </c>
      <c r="D980" t="s">
        <v>1336</v>
      </c>
      <c r="E980" t="s">
        <v>1415</v>
      </c>
      <c r="F980" t="s">
        <v>1348</v>
      </c>
      <c r="G980">
        <v>8203397957</v>
      </c>
    </row>
    <row r="981" spans="1:7" x14ac:dyDescent="0.3">
      <c r="A981" t="s">
        <v>3035</v>
      </c>
      <c r="B981" t="s">
        <v>3036</v>
      </c>
      <c r="C981">
        <v>61</v>
      </c>
      <c r="D981" t="s">
        <v>1336</v>
      </c>
      <c r="E981" t="s">
        <v>1475</v>
      </c>
      <c r="F981" t="s">
        <v>1419</v>
      </c>
      <c r="G981">
        <v>6645901294</v>
      </c>
    </row>
    <row r="982" spans="1:7" x14ac:dyDescent="0.3">
      <c r="A982" t="s">
        <v>3037</v>
      </c>
      <c r="B982" t="s">
        <v>3038</v>
      </c>
      <c r="C982">
        <v>44</v>
      </c>
      <c r="D982" t="s">
        <v>1328</v>
      </c>
      <c r="E982" t="s">
        <v>1441</v>
      </c>
      <c r="F982" t="s">
        <v>1394</v>
      </c>
      <c r="G982">
        <v>9405622024</v>
      </c>
    </row>
    <row r="983" spans="1:7" x14ac:dyDescent="0.3">
      <c r="A983" t="s">
        <v>3039</v>
      </c>
      <c r="B983" t="s">
        <v>3040</v>
      </c>
      <c r="C983">
        <v>44</v>
      </c>
      <c r="D983" t="s">
        <v>1336</v>
      </c>
      <c r="E983" t="s">
        <v>1403</v>
      </c>
      <c r="F983" t="s">
        <v>1362</v>
      </c>
      <c r="G983">
        <v>8776718320</v>
      </c>
    </row>
    <row r="984" spans="1:7" x14ac:dyDescent="0.3">
      <c r="A984" t="s">
        <v>3041</v>
      </c>
      <c r="B984" t="s">
        <v>3042</v>
      </c>
      <c r="C984">
        <v>65</v>
      </c>
      <c r="D984" t="s">
        <v>1328</v>
      </c>
      <c r="E984" t="s">
        <v>1594</v>
      </c>
      <c r="F984" t="s">
        <v>1445</v>
      </c>
      <c r="G984">
        <v>8834890099</v>
      </c>
    </row>
    <row r="985" spans="1:7" x14ac:dyDescent="0.3">
      <c r="A985" t="s">
        <v>206</v>
      </c>
      <c r="B985" t="s">
        <v>3043</v>
      </c>
      <c r="C985">
        <v>57</v>
      </c>
      <c r="D985" t="s">
        <v>1328</v>
      </c>
      <c r="E985" t="s">
        <v>1451</v>
      </c>
      <c r="F985" t="s">
        <v>1445</v>
      </c>
      <c r="G985">
        <v>6160518216</v>
      </c>
    </row>
    <row r="986" spans="1:7" x14ac:dyDescent="0.3">
      <c r="A986" t="s">
        <v>31</v>
      </c>
      <c r="B986" t="s">
        <v>3044</v>
      </c>
      <c r="C986">
        <v>42</v>
      </c>
      <c r="D986" t="s">
        <v>1328</v>
      </c>
      <c r="E986" t="s">
        <v>1845</v>
      </c>
      <c r="F986" t="s">
        <v>1330</v>
      </c>
      <c r="G986">
        <v>9088060144</v>
      </c>
    </row>
    <row r="987" spans="1:7" x14ac:dyDescent="0.3">
      <c r="A987" t="s">
        <v>289</v>
      </c>
      <c r="B987" t="s">
        <v>3045</v>
      </c>
      <c r="C987">
        <v>62</v>
      </c>
      <c r="D987" t="s">
        <v>1336</v>
      </c>
      <c r="E987" t="s">
        <v>1556</v>
      </c>
      <c r="F987" t="s">
        <v>1333</v>
      </c>
      <c r="G987">
        <v>9972262528</v>
      </c>
    </row>
    <row r="988" spans="1:7" x14ac:dyDescent="0.3">
      <c r="A988" t="s">
        <v>3046</v>
      </c>
      <c r="B988" t="s">
        <v>3047</v>
      </c>
      <c r="C988">
        <v>54</v>
      </c>
      <c r="D988" t="s">
        <v>1328</v>
      </c>
      <c r="E988" t="s">
        <v>1381</v>
      </c>
      <c r="F988" t="s">
        <v>1352</v>
      </c>
      <c r="G988">
        <v>8419268045</v>
      </c>
    </row>
    <row r="989" spans="1:7" x14ac:dyDescent="0.3">
      <c r="A989" t="s">
        <v>3048</v>
      </c>
      <c r="B989" t="s">
        <v>3049</v>
      </c>
      <c r="C989">
        <v>25</v>
      </c>
      <c r="D989" t="s">
        <v>1328</v>
      </c>
      <c r="E989" t="s">
        <v>1498</v>
      </c>
      <c r="F989" t="s">
        <v>1362</v>
      </c>
      <c r="G989">
        <v>6359501557</v>
      </c>
    </row>
    <row r="990" spans="1:7" x14ac:dyDescent="0.3">
      <c r="A990" t="s">
        <v>47</v>
      </c>
      <c r="B990" t="s">
        <v>3050</v>
      </c>
      <c r="C990">
        <v>35</v>
      </c>
      <c r="D990" t="s">
        <v>1328</v>
      </c>
      <c r="E990" t="s">
        <v>1556</v>
      </c>
      <c r="F990" t="s">
        <v>1333</v>
      </c>
      <c r="G990">
        <v>9415682923</v>
      </c>
    </row>
    <row r="991" spans="1:7" x14ac:dyDescent="0.3">
      <c r="A991" t="s">
        <v>3051</v>
      </c>
      <c r="B991" t="s">
        <v>3052</v>
      </c>
      <c r="C991">
        <v>50</v>
      </c>
      <c r="D991" t="s">
        <v>1336</v>
      </c>
      <c r="E991" t="s">
        <v>1399</v>
      </c>
      <c r="F991" t="s">
        <v>1400</v>
      </c>
      <c r="G991">
        <v>9569766361</v>
      </c>
    </row>
    <row r="992" spans="1:7" x14ac:dyDescent="0.3">
      <c r="A992" t="s">
        <v>3053</v>
      </c>
      <c r="B992" t="s">
        <v>3054</v>
      </c>
      <c r="C992">
        <v>47</v>
      </c>
      <c r="D992" t="s">
        <v>1328</v>
      </c>
      <c r="E992" t="s">
        <v>1381</v>
      </c>
      <c r="F992" t="s">
        <v>1352</v>
      </c>
      <c r="G992">
        <v>7426029572</v>
      </c>
    </row>
    <row r="993" spans="1:7" x14ac:dyDescent="0.3">
      <c r="A993" t="s">
        <v>3055</v>
      </c>
      <c r="B993" t="s">
        <v>3056</v>
      </c>
      <c r="C993">
        <v>24</v>
      </c>
      <c r="D993" t="s">
        <v>1328</v>
      </c>
      <c r="E993" t="s">
        <v>1498</v>
      </c>
      <c r="F993" t="s">
        <v>1362</v>
      </c>
      <c r="G993">
        <v>7581397502</v>
      </c>
    </row>
    <row r="994" spans="1:7" x14ac:dyDescent="0.3">
      <c r="A994" t="s">
        <v>3057</v>
      </c>
      <c r="B994" t="s">
        <v>3058</v>
      </c>
      <c r="C994">
        <v>56</v>
      </c>
      <c r="D994" t="s">
        <v>1328</v>
      </c>
      <c r="E994" t="s">
        <v>1456</v>
      </c>
      <c r="F994" t="s">
        <v>1394</v>
      </c>
      <c r="G994">
        <v>8273715003</v>
      </c>
    </row>
    <row r="995" spans="1:7" x14ac:dyDescent="0.3">
      <c r="A995" t="s">
        <v>3059</v>
      </c>
      <c r="B995" t="s">
        <v>3060</v>
      </c>
      <c r="C995">
        <v>22</v>
      </c>
      <c r="D995" t="s">
        <v>1336</v>
      </c>
      <c r="E995" t="s">
        <v>1602</v>
      </c>
      <c r="F995" t="s">
        <v>1400</v>
      </c>
      <c r="G995">
        <v>9749340596</v>
      </c>
    </row>
    <row r="996" spans="1:7" x14ac:dyDescent="0.3">
      <c r="A996" t="s">
        <v>3061</v>
      </c>
      <c r="B996" t="s">
        <v>3062</v>
      </c>
      <c r="C996">
        <v>33</v>
      </c>
      <c r="D996" t="s">
        <v>1336</v>
      </c>
      <c r="E996" t="s">
        <v>1386</v>
      </c>
      <c r="F996" t="s">
        <v>1338</v>
      </c>
      <c r="G996">
        <v>8192115912</v>
      </c>
    </row>
    <row r="997" spans="1:7" x14ac:dyDescent="0.3">
      <c r="A997" t="s">
        <v>3063</v>
      </c>
      <c r="B997" t="s">
        <v>3064</v>
      </c>
      <c r="C997">
        <v>61</v>
      </c>
      <c r="D997" t="s">
        <v>1328</v>
      </c>
      <c r="E997" t="s">
        <v>1483</v>
      </c>
      <c r="F997" t="s">
        <v>1368</v>
      </c>
      <c r="G997">
        <v>6713226284</v>
      </c>
    </row>
    <row r="998" spans="1:7" x14ac:dyDescent="0.3">
      <c r="A998" t="s">
        <v>3065</v>
      </c>
      <c r="B998" t="s">
        <v>3066</v>
      </c>
      <c r="C998">
        <v>43</v>
      </c>
      <c r="D998" t="s">
        <v>1328</v>
      </c>
      <c r="E998" t="s">
        <v>1365</v>
      </c>
      <c r="F998" t="s">
        <v>1352</v>
      </c>
      <c r="G998">
        <v>6215153845</v>
      </c>
    </row>
    <row r="999" spans="1:7" x14ac:dyDescent="0.3">
      <c r="A999" t="s">
        <v>543</v>
      </c>
      <c r="B999" t="s">
        <v>3067</v>
      </c>
      <c r="C999">
        <v>62</v>
      </c>
      <c r="D999" t="s">
        <v>1336</v>
      </c>
      <c r="E999" t="s">
        <v>1390</v>
      </c>
      <c r="F999" t="s">
        <v>1391</v>
      </c>
      <c r="G999">
        <v>7103973274</v>
      </c>
    </row>
    <row r="1000" spans="1:7" x14ac:dyDescent="0.3">
      <c r="A1000" t="s">
        <v>3068</v>
      </c>
      <c r="B1000" t="s">
        <v>3069</v>
      </c>
      <c r="C1000">
        <v>52</v>
      </c>
      <c r="D1000" t="s">
        <v>1336</v>
      </c>
      <c r="E1000" t="s">
        <v>1475</v>
      </c>
      <c r="F1000" t="s">
        <v>1419</v>
      </c>
      <c r="G1000">
        <v>8686138953</v>
      </c>
    </row>
    <row r="1001" spans="1:7" x14ac:dyDescent="0.3">
      <c r="A1001" t="s">
        <v>3070</v>
      </c>
      <c r="B1001" t="s">
        <v>3071</v>
      </c>
      <c r="C1001">
        <v>34</v>
      </c>
      <c r="D1001" t="s">
        <v>1328</v>
      </c>
      <c r="E1001" t="s">
        <v>1556</v>
      </c>
      <c r="F1001" t="s">
        <v>1333</v>
      </c>
      <c r="G1001">
        <v>9060605776</v>
      </c>
    </row>
    <row r="1002" spans="1:7" x14ac:dyDescent="0.3">
      <c r="A1002" t="s">
        <v>3072</v>
      </c>
      <c r="B1002" t="s">
        <v>3073</v>
      </c>
      <c r="C1002">
        <v>28</v>
      </c>
      <c r="D1002" t="s">
        <v>1336</v>
      </c>
      <c r="E1002" t="s">
        <v>1371</v>
      </c>
      <c r="F1002" t="s">
        <v>1342</v>
      </c>
      <c r="G1002">
        <v>8963177738</v>
      </c>
    </row>
    <row r="1003" spans="1:7" x14ac:dyDescent="0.3">
      <c r="A1003" t="s">
        <v>833</v>
      </c>
      <c r="B1003" t="s">
        <v>3074</v>
      </c>
      <c r="C1003">
        <v>49</v>
      </c>
      <c r="D1003" t="s">
        <v>1328</v>
      </c>
      <c r="E1003" t="s">
        <v>1397</v>
      </c>
      <c r="F1003" t="s">
        <v>1333</v>
      </c>
      <c r="G1003">
        <v>9036717301</v>
      </c>
    </row>
    <row r="1004" spans="1:7" x14ac:dyDescent="0.3">
      <c r="A1004" t="s">
        <v>3075</v>
      </c>
      <c r="B1004" t="s">
        <v>3076</v>
      </c>
      <c r="C1004">
        <v>38</v>
      </c>
      <c r="D1004" t="s">
        <v>1336</v>
      </c>
      <c r="E1004" t="s">
        <v>1747</v>
      </c>
      <c r="F1004" t="s">
        <v>1391</v>
      </c>
      <c r="G1004">
        <v>9376232257</v>
      </c>
    </row>
    <row r="1005" spans="1:7" x14ac:dyDescent="0.3">
      <c r="A1005" t="s">
        <v>3077</v>
      </c>
      <c r="B1005" t="s">
        <v>3078</v>
      </c>
      <c r="C1005">
        <v>59</v>
      </c>
      <c r="D1005" t="s">
        <v>1336</v>
      </c>
      <c r="E1005" t="s">
        <v>1386</v>
      </c>
      <c r="F1005" t="s">
        <v>1338</v>
      </c>
      <c r="G1005">
        <v>8040045921</v>
      </c>
    </row>
    <row r="1006" spans="1:7" x14ac:dyDescent="0.3">
      <c r="A1006" t="s">
        <v>3079</v>
      </c>
      <c r="B1006" t="s">
        <v>3080</v>
      </c>
      <c r="C1006">
        <v>50</v>
      </c>
      <c r="D1006" t="s">
        <v>1328</v>
      </c>
      <c r="E1006" t="s">
        <v>1542</v>
      </c>
      <c r="F1006" t="s">
        <v>1409</v>
      </c>
      <c r="G1006">
        <v>7179106200</v>
      </c>
    </row>
    <row r="1007" spans="1:7" x14ac:dyDescent="0.3">
      <c r="A1007" t="s">
        <v>954</v>
      </c>
      <c r="B1007" t="s">
        <v>3081</v>
      </c>
      <c r="C1007">
        <v>50</v>
      </c>
      <c r="D1007" t="s">
        <v>1328</v>
      </c>
      <c r="E1007" t="s">
        <v>1408</v>
      </c>
      <c r="F1007" t="s">
        <v>1409</v>
      </c>
      <c r="G1007">
        <v>9866849759</v>
      </c>
    </row>
    <row r="1008" spans="1:7" x14ac:dyDescent="0.3">
      <c r="A1008" t="s">
        <v>3082</v>
      </c>
      <c r="B1008" t="s">
        <v>3083</v>
      </c>
      <c r="C1008">
        <v>28</v>
      </c>
      <c r="D1008" t="s">
        <v>1328</v>
      </c>
      <c r="E1008" t="s">
        <v>1498</v>
      </c>
      <c r="F1008" t="s">
        <v>1362</v>
      </c>
      <c r="G1008">
        <v>8210962100</v>
      </c>
    </row>
    <row r="1009" spans="1:7" x14ac:dyDescent="0.3">
      <c r="A1009" t="s">
        <v>132</v>
      </c>
      <c r="B1009" t="s">
        <v>3084</v>
      </c>
      <c r="C1009">
        <v>25</v>
      </c>
      <c r="D1009" t="s">
        <v>1336</v>
      </c>
      <c r="E1009" t="s">
        <v>1399</v>
      </c>
      <c r="F1009" t="s">
        <v>1400</v>
      </c>
      <c r="G1009">
        <v>8806779508</v>
      </c>
    </row>
    <row r="1010" spans="1:7" x14ac:dyDescent="0.3">
      <c r="A1010" t="s">
        <v>254</v>
      </c>
      <c r="B1010" t="s">
        <v>3085</v>
      </c>
      <c r="C1010">
        <v>26</v>
      </c>
      <c r="D1010" t="s">
        <v>1336</v>
      </c>
      <c r="E1010" t="s">
        <v>1390</v>
      </c>
      <c r="F1010" t="s">
        <v>1391</v>
      </c>
      <c r="G1010">
        <v>6322730815</v>
      </c>
    </row>
    <row r="1011" spans="1:7" x14ac:dyDescent="0.3">
      <c r="A1011" t="s">
        <v>190</v>
      </c>
      <c r="B1011" t="s">
        <v>3086</v>
      </c>
      <c r="C1011">
        <v>53</v>
      </c>
      <c r="D1011" t="s">
        <v>1336</v>
      </c>
      <c r="E1011" t="s">
        <v>1347</v>
      </c>
      <c r="F1011" t="s">
        <v>1348</v>
      </c>
      <c r="G1011">
        <v>7739943708</v>
      </c>
    </row>
    <row r="1012" spans="1:7" x14ac:dyDescent="0.3">
      <c r="A1012" t="s">
        <v>3087</v>
      </c>
      <c r="B1012" t="s">
        <v>3088</v>
      </c>
      <c r="C1012">
        <v>39</v>
      </c>
      <c r="D1012" t="s">
        <v>1328</v>
      </c>
      <c r="E1012" t="s">
        <v>1337</v>
      </c>
      <c r="F1012" t="s">
        <v>1338</v>
      </c>
      <c r="G1012">
        <v>6602903139</v>
      </c>
    </row>
    <row r="1013" spans="1:7" x14ac:dyDescent="0.3">
      <c r="A1013" t="s">
        <v>213</v>
      </c>
      <c r="B1013" t="s">
        <v>3089</v>
      </c>
      <c r="C1013">
        <v>52</v>
      </c>
      <c r="D1013" t="s">
        <v>1336</v>
      </c>
      <c r="E1013" t="s">
        <v>1747</v>
      </c>
      <c r="F1013" t="s">
        <v>1391</v>
      </c>
      <c r="G1013">
        <v>8778005445</v>
      </c>
    </row>
    <row r="1014" spans="1:7" x14ac:dyDescent="0.3">
      <c r="A1014" t="s">
        <v>3090</v>
      </c>
      <c r="B1014" t="s">
        <v>3091</v>
      </c>
      <c r="C1014">
        <v>60</v>
      </c>
      <c r="D1014" t="s">
        <v>1336</v>
      </c>
      <c r="E1014" t="s">
        <v>1337</v>
      </c>
      <c r="F1014" t="s">
        <v>1338</v>
      </c>
      <c r="G1014">
        <v>6227022165</v>
      </c>
    </row>
    <row r="1015" spans="1:7" x14ac:dyDescent="0.3">
      <c r="A1015" t="s">
        <v>775</v>
      </c>
      <c r="B1015" t="s">
        <v>3092</v>
      </c>
      <c r="C1015">
        <v>56</v>
      </c>
      <c r="D1015" t="s">
        <v>1328</v>
      </c>
      <c r="E1015" t="s">
        <v>1483</v>
      </c>
      <c r="F1015" t="s">
        <v>1368</v>
      </c>
      <c r="G1015">
        <v>8346331965</v>
      </c>
    </row>
    <row r="1016" spans="1:7" x14ac:dyDescent="0.3">
      <c r="A1016" t="s">
        <v>3093</v>
      </c>
      <c r="B1016" t="s">
        <v>3094</v>
      </c>
      <c r="C1016">
        <v>30</v>
      </c>
      <c r="D1016" t="s">
        <v>1328</v>
      </c>
      <c r="E1016" t="s">
        <v>1345</v>
      </c>
      <c r="F1016" t="s">
        <v>1330</v>
      </c>
      <c r="G1016">
        <v>6361691964</v>
      </c>
    </row>
    <row r="1017" spans="1:7" x14ac:dyDescent="0.3">
      <c r="A1017" t="s">
        <v>3095</v>
      </c>
      <c r="B1017" t="s">
        <v>3096</v>
      </c>
      <c r="C1017">
        <v>51</v>
      </c>
      <c r="D1017" t="s">
        <v>1336</v>
      </c>
      <c r="E1017" t="s">
        <v>1329</v>
      </c>
      <c r="F1017" t="s">
        <v>1330</v>
      </c>
      <c r="G1017">
        <v>8035271421</v>
      </c>
    </row>
    <row r="1018" spans="1:7" x14ac:dyDescent="0.3">
      <c r="A1018" t="s">
        <v>423</v>
      </c>
      <c r="B1018" t="s">
        <v>3097</v>
      </c>
      <c r="C1018">
        <v>55</v>
      </c>
      <c r="D1018" t="s">
        <v>1328</v>
      </c>
      <c r="E1018" t="s">
        <v>1390</v>
      </c>
      <c r="F1018" t="s">
        <v>1391</v>
      </c>
      <c r="G1018">
        <v>7181719734</v>
      </c>
    </row>
    <row r="1019" spans="1:7" x14ac:dyDescent="0.3">
      <c r="A1019" t="s">
        <v>3098</v>
      </c>
      <c r="B1019" t="s">
        <v>3099</v>
      </c>
      <c r="C1019">
        <v>63</v>
      </c>
      <c r="D1019" t="s">
        <v>1336</v>
      </c>
      <c r="E1019" t="s">
        <v>1411</v>
      </c>
      <c r="F1019" t="s">
        <v>1356</v>
      </c>
      <c r="G1019">
        <v>6822589863</v>
      </c>
    </row>
    <row r="1020" spans="1:7" x14ac:dyDescent="0.3">
      <c r="A1020" t="s">
        <v>1048</v>
      </c>
      <c r="B1020" t="s">
        <v>3100</v>
      </c>
      <c r="C1020">
        <v>57</v>
      </c>
      <c r="D1020" t="s">
        <v>1328</v>
      </c>
      <c r="E1020" t="s">
        <v>1358</v>
      </c>
      <c r="F1020" t="s">
        <v>1356</v>
      </c>
      <c r="G1020">
        <v>6343674250</v>
      </c>
    </row>
    <row r="1021" spans="1:7" x14ac:dyDescent="0.3">
      <c r="A1021" t="s">
        <v>3101</v>
      </c>
      <c r="B1021" t="s">
        <v>3102</v>
      </c>
      <c r="C1021">
        <v>38</v>
      </c>
      <c r="D1021" t="s">
        <v>1336</v>
      </c>
      <c r="E1021" t="s">
        <v>1341</v>
      </c>
      <c r="F1021" t="s">
        <v>1342</v>
      </c>
      <c r="G1021">
        <v>9669654754</v>
      </c>
    </row>
    <row r="1022" spans="1:7" x14ac:dyDescent="0.3">
      <c r="A1022" t="s">
        <v>3103</v>
      </c>
      <c r="B1022" t="s">
        <v>3104</v>
      </c>
      <c r="C1022">
        <v>61</v>
      </c>
      <c r="D1022" t="s">
        <v>1336</v>
      </c>
      <c r="E1022" t="s">
        <v>1329</v>
      </c>
      <c r="F1022" t="s">
        <v>1330</v>
      </c>
      <c r="G1022">
        <v>9943994391</v>
      </c>
    </row>
    <row r="1023" spans="1:7" x14ac:dyDescent="0.3">
      <c r="A1023" t="s">
        <v>456</v>
      </c>
      <c r="B1023" t="s">
        <v>3105</v>
      </c>
      <c r="C1023">
        <v>31</v>
      </c>
      <c r="D1023" t="s">
        <v>1328</v>
      </c>
      <c r="E1023" t="s">
        <v>1501</v>
      </c>
      <c r="F1023" t="s">
        <v>1394</v>
      </c>
      <c r="G1023">
        <v>8359304805</v>
      </c>
    </row>
    <row r="1024" spans="1:7" x14ac:dyDescent="0.3">
      <c r="A1024" t="s">
        <v>3106</v>
      </c>
      <c r="B1024" t="s">
        <v>3107</v>
      </c>
      <c r="C1024">
        <v>55</v>
      </c>
      <c r="D1024" t="s">
        <v>1336</v>
      </c>
      <c r="E1024" t="s">
        <v>1563</v>
      </c>
      <c r="F1024" t="s">
        <v>1356</v>
      </c>
      <c r="G1024">
        <v>8082587102</v>
      </c>
    </row>
    <row r="1025" spans="1:7" x14ac:dyDescent="0.3">
      <c r="A1025" t="s">
        <v>3108</v>
      </c>
      <c r="B1025" t="s">
        <v>3109</v>
      </c>
      <c r="C1025">
        <v>32</v>
      </c>
      <c r="D1025" t="s">
        <v>1328</v>
      </c>
      <c r="E1025" t="s">
        <v>1815</v>
      </c>
      <c r="F1025" t="s">
        <v>1400</v>
      </c>
      <c r="G1025">
        <v>9483802080</v>
      </c>
    </row>
    <row r="1026" spans="1:7" x14ac:dyDescent="0.3">
      <c r="A1026" t="s">
        <v>3110</v>
      </c>
      <c r="B1026" t="s">
        <v>3111</v>
      </c>
      <c r="C1026">
        <v>36</v>
      </c>
      <c r="D1026" t="s">
        <v>1328</v>
      </c>
      <c r="E1026" t="s">
        <v>1332</v>
      </c>
      <c r="F1026" t="s">
        <v>1333</v>
      </c>
      <c r="G1026">
        <v>7387575262</v>
      </c>
    </row>
    <row r="1027" spans="1:7" x14ac:dyDescent="0.3">
      <c r="A1027" t="s">
        <v>3112</v>
      </c>
      <c r="B1027" t="s">
        <v>3113</v>
      </c>
      <c r="C1027">
        <v>33</v>
      </c>
      <c r="D1027" t="s">
        <v>1328</v>
      </c>
      <c r="E1027" t="s">
        <v>1517</v>
      </c>
      <c r="F1027" t="s">
        <v>1362</v>
      </c>
      <c r="G1027">
        <v>8281157676</v>
      </c>
    </row>
    <row r="1028" spans="1:7" x14ac:dyDescent="0.3">
      <c r="A1028" t="s">
        <v>14</v>
      </c>
      <c r="B1028" t="s">
        <v>3114</v>
      </c>
      <c r="C1028">
        <v>31</v>
      </c>
      <c r="D1028" t="s">
        <v>1336</v>
      </c>
      <c r="E1028" t="s">
        <v>1329</v>
      </c>
      <c r="F1028" t="s">
        <v>1330</v>
      </c>
      <c r="G1028">
        <v>8790807175</v>
      </c>
    </row>
    <row r="1029" spans="1:7" x14ac:dyDescent="0.3">
      <c r="A1029" t="s">
        <v>3115</v>
      </c>
      <c r="B1029" t="s">
        <v>3116</v>
      </c>
      <c r="C1029">
        <v>56</v>
      </c>
      <c r="D1029" t="s">
        <v>1336</v>
      </c>
      <c r="E1029" t="s">
        <v>1463</v>
      </c>
      <c r="F1029" t="s">
        <v>1391</v>
      </c>
      <c r="G1029">
        <v>7222235662</v>
      </c>
    </row>
    <row r="1030" spans="1:7" x14ac:dyDescent="0.3">
      <c r="A1030" t="s">
        <v>3117</v>
      </c>
      <c r="B1030" t="s">
        <v>3118</v>
      </c>
      <c r="C1030">
        <v>22</v>
      </c>
      <c r="D1030" t="s">
        <v>1336</v>
      </c>
      <c r="E1030" t="s">
        <v>1367</v>
      </c>
      <c r="F1030" t="s">
        <v>1368</v>
      </c>
      <c r="G1030">
        <v>8823499517</v>
      </c>
    </row>
    <row r="1031" spans="1:7" x14ac:dyDescent="0.3">
      <c r="A1031" t="s">
        <v>809</v>
      </c>
      <c r="B1031" t="s">
        <v>3119</v>
      </c>
      <c r="C1031">
        <v>43</v>
      </c>
      <c r="D1031" t="s">
        <v>1336</v>
      </c>
      <c r="E1031" t="s">
        <v>1386</v>
      </c>
      <c r="F1031" t="s">
        <v>1338</v>
      </c>
      <c r="G1031">
        <v>6586091539</v>
      </c>
    </row>
    <row r="1032" spans="1:7" x14ac:dyDescent="0.3">
      <c r="A1032" t="s">
        <v>660</v>
      </c>
      <c r="B1032" t="s">
        <v>3120</v>
      </c>
      <c r="C1032">
        <v>42</v>
      </c>
      <c r="D1032" t="s">
        <v>1328</v>
      </c>
      <c r="E1032" t="s">
        <v>1329</v>
      </c>
      <c r="F1032" t="s">
        <v>1330</v>
      </c>
      <c r="G1032">
        <v>6911165047</v>
      </c>
    </row>
    <row r="1033" spans="1:7" x14ac:dyDescent="0.3">
      <c r="A1033" t="s">
        <v>355</v>
      </c>
      <c r="B1033" t="s">
        <v>3121</v>
      </c>
      <c r="C1033">
        <v>26</v>
      </c>
      <c r="D1033" t="s">
        <v>1328</v>
      </c>
      <c r="E1033" t="s">
        <v>1390</v>
      </c>
      <c r="F1033" t="s">
        <v>1391</v>
      </c>
      <c r="G1033">
        <v>7323595446</v>
      </c>
    </row>
    <row r="1034" spans="1:7" x14ac:dyDescent="0.3">
      <c r="A1034" t="s">
        <v>1154</v>
      </c>
      <c r="B1034" t="s">
        <v>3122</v>
      </c>
      <c r="C1034">
        <v>45</v>
      </c>
      <c r="D1034" t="s">
        <v>1336</v>
      </c>
      <c r="E1034" t="s">
        <v>1367</v>
      </c>
      <c r="F1034" t="s">
        <v>1368</v>
      </c>
      <c r="G1034">
        <v>6266788419</v>
      </c>
    </row>
    <row r="1035" spans="1:7" x14ac:dyDescent="0.3">
      <c r="A1035" t="s">
        <v>40</v>
      </c>
      <c r="B1035" t="s">
        <v>3123</v>
      </c>
      <c r="C1035">
        <v>50</v>
      </c>
      <c r="D1035" t="s">
        <v>1328</v>
      </c>
      <c r="E1035" t="s">
        <v>1355</v>
      </c>
      <c r="F1035" t="s">
        <v>1356</v>
      </c>
      <c r="G1035">
        <v>7906562839</v>
      </c>
    </row>
    <row r="1036" spans="1:7" x14ac:dyDescent="0.3">
      <c r="A1036" t="s">
        <v>278</v>
      </c>
      <c r="B1036" t="s">
        <v>3124</v>
      </c>
      <c r="C1036">
        <v>59</v>
      </c>
      <c r="D1036" t="s">
        <v>1328</v>
      </c>
      <c r="E1036" t="s">
        <v>1815</v>
      </c>
      <c r="F1036" t="s">
        <v>1400</v>
      </c>
      <c r="G1036">
        <v>7310241042</v>
      </c>
    </row>
    <row r="1037" spans="1:7" x14ac:dyDescent="0.3">
      <c r="A1037" t="s">
        <v>380</v>
      </c>
      <c r="B1037" t="s">
        <v>3125</v>
      </c>
      <c r="C1037">
        <v>49</v>
      </c>
      <c r="D1037" t="s">
        <v>1336</v>
      </c>
      <c r="E1037" t="s">
        <v>1332</v>
      </c>
      <c r="F1037" t="s">
        <v>1333</v>
      </c>
      <c r="G1037">
        <v>8925254520</v>
      </c>
    </row>
    <row r="1038" spans="1:7" x14ac:dyDescent="0.3">
      <c r="A1038" t="s">
        <v>3126</v>
      </c>
      <c r="B1038" t="s">
        <v>3127</v>
      </c>
      <c r="C1038">
        <v>24</v>
      </c>
      <c r="D1038" t="s">
        <v>1336</v>
      </c>
      <c r="E1038" t="s">
        <v>1542</v>
      </c>
      <c r="F1038" t="s">
        <v>1409</v>
      </c>
      <c r="G1038">
        <v>9341119167</v>
      </c>
    </row>
    <row r="1039" spans="1:7" x14ac:dyDescent="0.3">
      <c r="A1039" t="s">
        <v>1060</v>
      </c>
      <c r="B1039" t="s">
        <v>3128</v>
      </c>
      <c r="C1039">
        <v>36</v>
      </c>
      <c r="D1039" t="s">
        <v>1336</v>
      </c>
      <c r="E1039" t="s">
        <v>1386</v>
      </c>
      <c r="F1039" t="s">
        <v>1338</v>
      </c>
      <c r="G1039">
        <v>6995448425</v>
      </c>
    </row>
    <row r="1040" spans="1:7" x14ac:dyDescent="0.3">
      <c r="A1040" t="s">
        <v>3129</v>
      </c>
      <c r="B1040" t="s">
        <v>3130</v>
      </c>
      <c r="C1040">
        <v>44</v>
      </c>
      <c r="D1040" t="s">
        <v>1328</v>
      </c>
      <c r="E1040" t="s">
        <v>1444</v>
      </c>
      <c r="F1040" t="s">
        <v>1445</v>
      </c>
      <c r="G1040">
        <v>9702142056</v>
      </c>
    </row>
    <row r="1041" spans="1:7" x14ac:dyDescent="0.3">
      <c r="A1041" t="s">
        <v>3131</v>
      </c>
      <c r="B1041" t="s">
        <v>3132</v>
      </c>
      <c r="C1041">
        <v>26</v>
      </c>
      <c r="D1041" t="s">
        <v>1336</v>
      </c>
      <c r="E1041" t="s">
        <v>1393</v>
      </c>
      <c r="F1041" t="s">
        <v>1394</v>
      </c>
      <c r="G1041">
        <v>9890508196</v>
      </c>
    </row>
    <row r="1042" spans="1:7" x14ac:dyDescent="0.3">
      <c r="A1042" t="s">
        <v>3133</v>
      </c>
      <c r="B1042" t="s">
        <v>3134</v>
      </c>
      <c r="C1042">
        <v>37</v>
      </c>
      <c r="D1042" t="s">
        <v>1336</v>
      </c>
      <c r="E1042" t="s">
        <v>1377</v>
      </c>
      <c r="F1042" t="s">
        <v>1368</v>
      </c>
      <c r="G1042">
        <v>8163640758</v>
      </c>
    </row>
    <row r="1043" spans="1:7" x14ac:dyDescent="0.3">
      <c r="A1043" t="s">
        <v>3135</v>
      </c>
      <c r="B1043" t="s">
        <v>3136</v>
      </c>
      <c r="C1043">
        <v>46</v>
      </c>
      <c r="D1043" t="s">
        <v>1328</v>
      </c>
      <c r="E1043" t="s">
        <v>1556</v>
      </c>
      <c r="F1043" t="s">
        <v>1333</v>
      </c>
      <c r="G1043">
        <v>9945576301</v>
      </c>
    </row>
    <row r="1044" spans="1:7" x14ac:dyDescent="0.3">
      <c r="A1044" t="s">
        <v>3137</v>
      </c>
      <c r="B1044" t="s">
        <v>3138</v>
      </c>
      <c r="C1044">
        <v>57</v>
      </c>
      <c r="D1044" t="s">
        <v>1336</v>
      </c>
      <c r="E1044" t="s">
        <v>1649</v>
      </c>
      <c r="F1044" t="s">
        <v>1391</v>
      </c>
      <c r="G1044">
        <v>9345476413</v>
      </c>
    </row>
    <row r="1045" spans="1:7" x14ac:dyDescent="0.3">
      <c r="A1045" t="s">
        <v>1088</v>
      </c>
      <c r="B1045" t="s">
        <v>3139</v>
      </c>
      <c r="C1045">
        <v>49</v>
      </c>
      <c r="D1045" t="s">
        <v>1336</v>
      </c>
      <c r="E1045" t="s">
        <v>1403</v>
      </c>
      <c r="F1045" t="s">
        <v>1362</v>
      </c>
      <c r="G1045">
        <v>8881624972</v>
      </c>
    </row>
    <row r="1046" spans="1:7" x14ac:dyDescent="0.3">
      <c r="A1046" t="s">
        <v>3140</v>
      </c>
      <c r="B1046" t="s">
        <v>3141</v>
      </c>
      <c r="C1046">
        <v>64</v>
      </c>
      <c r="D1046" t="s">
        <v>1328</v>
      </c>
      <c r="E1046" t="s">
        <v>1461</v>
      </c>
      <c r="F1046" t="s">
        <v>1445</v>
      </c>
      <c r="G1046">
        <v>9521439166</v>
      </c>
    </row>
    <row r="1047" spans="1:7" x14ac:dyDescent="0.3">
      <c r="A1047" t="s">
        <v>3142</v>
      </c>
      <c r="B1047" t="s">
        <v>3143</v>
      </c>
      <c r="C1047">
        <v>62</v>
      </c>
      <c r="D1047" t="s">
        <v>1336</v>
      </c>
      <c r="E1047" t="s">
        <v>1713</v>
      </c>
      <c r="F1047" t="s">
        <v>1409</v>
      </c>
      <c r="G1047">
        <v>9025494798</v>
      </c>
    </row>
    <row r="1048" spans="1:7" x14ac:dyDescent="0.3">
      <c r="A1048" t="s">
        <v>1138</v>
      </c>
      <c r="B1048" t="s">
        <v>3144</v>
      </c>
      <c r="C1048">
        <v>62</v>
      </c>
      <c r="D1048" t="s">
        <v>1328</v>
      </c>
      <c r="E1048" t="s">
        <v>1425</v>
      </c>
      <c r="F1048" t="s">
        <v>1409</v>
      </c>
      <c r="G1048">
        <v>8899731835</v>
      </c>
    </row>
    <row r="1049" spans="1:7" x14ac:dyDescent="0.3">
      <c r="A1049" t="s">
        <v>3145</v>
      </c>
      <c r="B1049" t="s">
        <v>3146</v>
      </c>
      <c r="C1049">
        <v>46</v>
      </c>
      <c r="D1049" t="s">
        <v>1336</v>
      </c>
      <c r="E1049" t="s">
        <v>1475</v>
      </c>
      <c r="F1049" t="s">
        <v>1419</v>
      </c>
      <c r="G1049">
        <v>6636031645</v>
      </c>
    </row>
    <row r="1050" spans="1:7" x14ac:dyDescent="0.3">
      <c r="A1050" t="s">
        <v>3147</v>
      </c>
      <c r="B1050" t="s">
        <v>3148</v>
      </c>
      <c r="C1050">
        <v>45</v>
      </c>
      <c r="D1050" t="s">
        <v>1328</v>
      </c>
      <c r="E1050" t="s">
        <v>1747</v>
      </c>
      <c r="F1050" t="s">
        <v>1391</v>
      </c>
      <c r="G1050">
        <v>9988987153</v>
      </c>
    </row>
    <row r="1051" spans="1:7" x14ac:dyDescent="0.3">
      <c r="A1051" t="s">
        <v>298</v>
      </c>
      <c r="B1051" t="s">
        <v>3149</v>
      </c>
      <c r="C1051">
        <v>35</v>
      </c>
      <c r="D1051" t="s">
        <v>1328</v>
      </c>
      <c r="E1051" t="s">
        <v>1355</v>
      </c>
      <c r="F1051" t="s">
        <v>1356</v>
      </c>
      <c r="G1051">
        <v>7182458237</v>
      </c>
    </row>
    <row r="1052" spans="1:7" x14ac:dyDescent="0.3">
      <c r="A1052" t="s">
        <v>3150</v>
      </c>
      <c r="B1052" t="s">
        <v>3151</v>
      </c>
      <c r="C1052">
        <v>50</v>
      </c>
      <c r="D1052" t="s">
        <v>1328</v>
      </c>
      <c r="E1052" t="s">
        <v>1381</v>
      </c>
      <c r="F1052" t="s">
        <v>1352</v>
      </c>
      <c r="G1052">
        <v>7460613604</v>
      </c>
    </row>
    <row r="1053" spans="1:7" x14ac:dyDescent="0.3">
      <c r="A1053" t="s">
        <v>391</v>
      </c>
      <c r="B1053" t="s">
        <v>3152</v>
      </c>
      <c r="C1053">
        <v>44</v>
      </c>
      <c r="D1053" t="s">
        <v>1328</v>
      </c>
      <c r="E1053" t="s">
        <v>1591</v>
      </c>
      <c r="F1053" t="s">
        <v>1352</v>
      </c>
      <c r="G1053">
        <v>7079728404</v>
      </c>
    </row>
    <row r="1054" spans="1:7" x14ac:dyDescent="0.3">
      <c r="A1054" t="s">
        <v>1126</v>
      </c>
      <c r="B1054" t="s">
        <v>3153</v>
      </c>
      <c r="C1054">
        <v>48</v>
      </c>
      <c r="D1054" t="s">
        <v>1336</v>
      </c>
      <c r="E1054" t="s">
        <v>1466</v>
      </c>
      <c r="F1054" t="s">
        <v>1338</v>
      </c>
      <c r="G1054">
        <v>6637861888</v>
      </c>
    </row>
    <row r="1055" spans="1:7" x14ac:dyDescent="0.3">
      <c r="A1055" t="s">
        <v>3154</v>
      </c>
      <c r="B1055" t="s">
        <v>3155</v>
      </c>
      <c r="C1055">
        <v>56</v>
      </c>
      <c r="D1055" t="s">
        <v>1328</v>
      </c>
      <c r="E1055" t="s">
        <v>1411</v>
      </c>
      <c r="F1055" t="s">
        <v>1356</v>
      </c>
      <c r="G1055">
        <v>7997548754</v>
      </c>
    </row>
    <row r="1056" spans="1:7" x14ac:dyDescent="0.3">
      <c r="A1056" t="s">
        <v>3156</v>
      </c>
      <c r="B1056" t="s">
        <v>3157</v>
      </c>
      <c r="C1056">
        <v>42</v>
      </c>
      <c r="D1056" t="s">
        <v>1328</v>
      </c>
      <c r="E1056" t="s">
        <v>1397</v>
      </c>
      <c r="F1056" t="s">
        <v>1333</v>
      </c>
      <c r="G1056">
        <v>7829162581</v>
      </c>
    </row>
    <row r="1057" spans="1:7" x14ac:dyDescent="0.3">
      <c r="A1057" t="s">
        <v>3158</v>
      </c>
      <c r="B1057" t="s">
        <v>3159</v>
      </c>
      <c r="C1057">
        <v>62</v>
      </c>
      <c r="D1057" t="s">
        <v>1328</v>
      </c>
      <c r="E1057" t="s">
        <v>1441</v>
      </c>
      <c r="F1057" t="s">
        <v>1394</v>
      </c>
      <c r="G1057">
        <v>8100119364</v>
      </c>
    </row>
    <row r="1058" spans="1:7" x14ac:dyDescent="0.3">
      <c r="A1058" t="s">
        <v>960</v>
      </c>
      <c r="B1058" t="s">
        <v>3160</v>
      </c>
      <c r="C1058">
        <v>57</v>
      </c>
      <c r="D1058" t="s">
        <v>1328</v>
      </c>
      <c r="E1058" t="s">
        <v>1444</v>
      </c>
      <c r="F1058" t="s">
        <v>1445</v>
      </c>
      <c r="G1058">
        <v>8715118904</v>
      </c>
    </row>
    <row r="1059" spans="1:7" x14ac:dyDescent="0.3">
      <c r="A1059" t="s">
        <v>1146</v>
      </c>
      <c r="B1059" t="s">
        <v>3161</v>
      </c>
      <c r="C1059">
        <v>38</v>
      </c>
      <c r="D1059" t="s">
        <v>1336</v>
      </c>
      <c r="E1059" t="s">
        <v>1374</v>
      </c>
      <c r="F1059" t="s">
        <v>1348</v>
      </c>
      <c r="G1059">
        <v>9784698164</v>
      </c>
    </row>
    <row r="1060" spans="1:7" x14ac:dyDescent="0.3">
      <c r="A1060" t="s">
        <v>676</v>
      </c>
      <c r="B1060" t="s">
        <v>3162</v>
      </c>
      <c r="C1060">
        <v>24</v>
      </c>
      <c r="D1060" t="s">
        <v>1328</v>
      </c>
      <c r="E1060" t="s">
        <v>1556</v>
      </c>
      <c r="F1060" t="s">
        <v>1333</v>
      </c>
      <c r="G1060">
        <v>9283355219</v>
      </c>
    </row>
    <row r="1061" spans="1:7" x14ac:dyDescent="0.3">
      <c r="A1061" t="s">
        <v>3163</v>
      </c>
      <c r="B1061" t="s">
        <v>3164</v>
      </c>
      <c r="C1061">
        <v>35</v>
      </c>
      <c r="D1061" t="s">
        <v>1328</v>
      </c>
      <c r="E1061" t="s">
        <v>1418</v>
      </c>
      <c r="F1061" t="s">
        <v>1419</v>
      </c>
      <c r="G1061">
        <v>9794184129</v>
      </c>
    </row>
    <row r="1062" spans="1:7" x14ac:dyDescent="0.3">
      <c r="A1062" t="s">
        <v>3165</v>
      </c>
      <c r="B1062" t="s">
        <v>3166</v>
      </c>
      <c r="C1062">
        <v>24</v>
      </c>
      <c r="D1062" t="s">
        <v>1328</v>
      </c>
      <c r="E1062" t="s">
        <v>1511</v>
      </c>
      <c r="F1062" t="s">
        <v>1419</v>
      </c>
      <c r="G1062">
        <v>9766249144</v>
      </c>
    </row>
    <row r="1063" spans="1:7" x14ac:dyDescent="0.3">
      <c r="A1063" t="s">
        <v>3167</v>
      </c>
      <c r="B1063" t="s">
        <v>3168</v>
      </c>
      <c r="C1063">
        <v>52</v>
      </c>
      <c r="D1063" t="s">
        <v>1336</v>
      </c>
      <c r="E1063" t="s">
        <v>1463</v>
      </c>
      <c r="F1063" t="s">
        <v>1391</v>
      </c>
      <c r="G1063">
        <v>8144384858</v>
      </c>
    </row>
    <row r="1064" spans="1:7" x14ac:dyDescent="0.3">
      <c r="A1064" t="s">
        <v>3169</v>
      </c>
      <c r="B1064" t="s">
        <v>3170</v>
      </c>
      <c r="C1064">
        <v>38</v>
      </c>
      <c r="D1064" t="s">
        <v>1328</v>
      </c>
      <c r="E1064" t="s">
        <v>1461</v>
      </c>
      <c r="F1064" t="s">
        <v>1445</v>
      </c>
      <c r="G1064">
        <v>9349913299</v>
      </c>
    </row>
    <row r="1065" spans="1:7" x14ac:dyDescent="0.3">
      <c r="A1065" t="s">
        <v>3171</v>
      </c>
      <c r="B1065" t="s">
        <v>3172</v>
      </c>
      <c r="C1065">
        <v>44</v>
      </c>
      <c r="D1065" t="s">
        <v>1328</v>
      </c>
      <c r="E1065" t="s">
        <v>1713</v>
      </c>
      <c r="F1065" t="s">
        <v>1409</v>
      </c>
      <c r="G1065">
        <v>8886639916</v>
      </c>
    </row>
    <row r="1066" spans="1:7" x14ac:dyDescent="0.3">
      <c r="A1066" t="s">
        <v>3173</v>
      </c>
      <c r="B1066" t="s">
        <v>3174</v>
      </c>
      <c r="C1066">
        <v>46</v>
      </c>
      <c r="D1066" t="s">
        <v>1328</v>
      </c>
      <c r="E1066" t="s">
        <v>1422</v>
      </c>
      <c r="F1066" t="s">
        <v>1330</v>
      </c>
      <c r="G1066">
        <v>6959722981</v>
      </c>
    </row>
    <row r="1067" spans="1:7" x14ac:dyDescent="0.3">
      <c r="A1067" t="s">
        <v>3175</v>
      </c>
      <c r="B1067" t="s">
        <v>3176</v>
      </c>
      <c r="C1067">
        <v>36</v>
      </c>
      <c r="D1067" t="s">
        <v>1328</v>
      </c>
      <c r="E1067" t="s">
        <v>1341</v>
      </c>
      <c r="F1067" t="s">
        <v>1342</v>
      </c>
      <c r="G1067">
        <v>8400298048</v>
      </c>
    </row>
    <row r="1068" spans="1:7" x14ac:dyDescent="0.3">
      <c r="A1068" t="s">
        <v>3177</v>
      </c>
      <c r="B1068" t="s">
        <v>3178</v>
      </c>
      <c r="C1068">
        <v>22</v>
      </c>
      <c r="D1068" t="s">
        <v>1328</v>
      </c>
      <c r="E1068" t="s">
        <v>1365</v>
      </c>
      <c r="F1068" t="s">
        <v>1352</v>
      </c>
      <c r="G1068">
        <v>8148041932</v>
      </c>
    </row>
    <row r="1069" spans="1:7" x14ac:dyDescent="0.3">
      <c r="A1069" t="s">
        <v>370</v>
      </c>
      <c r="B1069" t="s">
        <v>3179</v>
      </c>
      <c r="C1069">
        <v>44</v>
      </c>
      <c r="D1069" t="s">
        <v>1336</v>
      </c>
      <c r="E1069" t="s">
        <v>1556</v>
      </c>
      <c r="F1069" t="s">
        <v>1333</v>
      </c>
      <c r="G1069">
        <v>8709232199</v>
      </c>
    </row>
    <row r="1070" spans="1:7" x14ac:dyDescent="0.3">
      <c r="A1070" t="s">
        <v>3180</v>
      </c>
      <c r="B1070" t="s">
        <v>3181</v>
      </c>
      <c r="C1070">
        <v>57</v>
      </c>
      <c r="D1070" t="s">
        <v>1328</v>
      </c>
      <c r="E1070" t="s">
        <v>1655</v>
      </c>
      <c r="F1070" t="s">
        <v>1409</v>
      </c>
      <c r="G1070">
        <v>6784150809</v>
      </c>
    </row>
    <row r="1071" spans="1:7" x14ac:dyDescent="0.3">
      <c r="A1071" t="s">
        <v>3182</v>
      </c>
      <c r="B1071" t="s">
        <v>3183</v>
      </c>
      <c r="C1071">
        <v>53</v>
      </c>
      <c r="D1071" t="s">
        <v>1328</v>
      </c>
      <c r="E1071" t="s">
        <v>1602</v>
      </c>
      <c r="F1071" t="s">
        <v>1400</v>
      </c>
      <c r="G1071">
        <v>7165943611</v>
      </c>
    </row>
    <row r="1072" spans="1:7" x14ac:dyDescent="0.3">
      <c r="A1072" t="s">
        <v>3184</v>
      </c>
      <c r="B1072" t="s">
        <v>3185</v>
      </c>
      <c r="C1072">
        <v>51</v>
      </c>
      <c r="D1072" t="s">
        <v>1336</v>
      </c>
      <c r="E1072" t="s">
        <v>1432</v>
      </c>
      <c r="F1072" t="s">
        <v>1342</v>
      </c>
      <c r="G1072">
        <v>7878123664</v>
      </c>
    </row>
    <row r="1073" spans="1:7" x14ac:dyDescent="0.3">
      <c r="A1073" t="s">
        <v>3186</v>
      </c>
      <c r="B1073" t="s">
        <v>3187</v>
      </c>
      <c r="C1073">
        <v>51</v>
      </c>
      <c r="D1073" t="s">
        <v>1336</v>
      </c>
      <c r="E1073" t="s">
        <v>1444</v>
      </c>
      <c r="F1073" t="s">
        <v>1445</v>
      </c>
      <c r="G1073">
        <v>8499120027</v>
      </c>
    </row>
    <row r="1074" spans="1:7" x14ac:dyDescent="0.3">
      <c r="A1074" t="s">
        <v>3188</v>
      </c>
      <c r="B1074" t="s">
        <v>3189</v>
      </c>
      <c r="C1074">
        <v>23</v>
      </c>
      <c r="D1074" t="s">
        <v>1328</v>
      </c>
      <c r="E1074" t="s">
        <v>1501</v>
      </c>
      <c r="F1074" t="s">
        <v>1394</v>
      </c>
      <c r="G1074">
        <v>6122948588</v>
      </c>
    </row>
    <row r="1075" spans="1:7" x14ac:dyDescent="0.3">
      <c r="A1075" t="s">
        <v>3190</v>
      </c>
      <c r="B1075" t="s">
        <v>3191</v>
      </c>
      <c r="C1075">
        <v>60</v>
      </c>
      <c r="D1075" t="s">
        <v>1336</v>
      </c>
      <c r="E1075" t="s">
        <v>1413</v>
      </c>
      <c r="F1075" t="s">
        <v>1348</v>
      </c>
      <c r="G1075">
        <v>7895196917</v>
      </c>
    </row>
    <row r="1076" spans="1:7" x14ac:dyDescent="0.3">
      <c r="A1076" t="s">
        <v>3192</v>
      </c>
      <c r="B1076" t="s">
        <v>3193</v>
      </c>
      <c r="C1076">
        <v>44</v>
      </c>
      <c r="D1076" t="s">
        <v>1336</v>
      </c>
      <c r="E1076" t="s">
        <v>1599</v>
      </c>
      <c r="F1076" t="s">
        <v>1400</v>
      </c>
      <c r="G1076">
        <v>6885224114</v>
      </c>
    </row>
    <row r="1077" spans="1:7" x14ac:dyDescent="0.3">
      <c r="A1077" t="s">
        <v>1298</v>
      </c>
      <c r="B1077" t="s">
        <v>3194</v>
      </c>
      <c r="C1077">
        <v>47</v>
      </c>
      <c r="D1077" t="s">
        <v>1336</v>
      </c>
      <c r="E1077" t="s">
        <v>1361</v>
      </c>
      <c r="F1077" t="s">
        <v>1362</v>
      </c>
      <c r="G1077">
        <v>8372859534</v>
      </c>
    </row>
    <row r="1078" spans="1:7" x14ac:dyDescent="0.3">
      <c r="A1078" t="s">
        <v>393</v>
      </c>
      <c r="B1078" t="s">
        <v>3195</v>
      </c>
      <c r="C1078">
        <v>49</v>
      </c>
      <c r="D1078" t="s">
        <v>1328</v>
      </c>
      <c r="E1078" t="s">
        <v>1393</v>
      </c>
      <c r="F1078" t="s">
        <v>1394</v>
      </c>
      <c r="G1078">
        <v>6343533034</v>
      </c>
    </row>
    <row r="1079" spans="1:7" x14ac:dyDescent="0.3">
      <c r="A1079" t="s">
        <v>3196</v>
      </c>
      <c r="B1079" t="s">
        <v>3197</v>
      </c>
      <c r="C1079">
        <v>21</v>
      </c>
      <c r="D1079" t="s">
        <v>1328</v>
      </c>
      <c r="E1079" t="s">
        <v>1511</v>
      </c>
      <c r="F1079" t="s">
        <v>1419</v>
      </c>
      <c r="G1079">
        <v>8962916206</v>
      </c>
    </row>
    <row r="1080" spans="1:7" x14ac:dyDescent="0.3">
      <c r="A1080" t="s">
        <v>3198</v>
      </c>
      <c r="B1080" t="s">
        <v>3199</v>
      </c>
      <c r="C1080">
        <v>28</v>
      </c>
      <c r="D1080" t="s">
        <v>1336</v>
      </c>
      <c r="E1080" t="s">
        <v>1466</v>
      </c>
      <c r="F1080" t="s">
        <v>1338</v>
      </c>
      <c r="G1080">
        <v>8143564839</v>
      </c>
    </row>
    <row r="1081" spans="1:7" x14ac:dyDescent="0.3">
      <c r="A1081" t="s">
        <v>3200</v>
      </c>
      <c r="B1081" t="s">
        <v>3201</v>
      </c>
      <c r="C1081">
        <v>48</v>
      </c>
      <c r="D1081" t="s">
        <v>1328</v>
      </c>
      <c r="E1081" t="s">
        <v>1432</v>
      </c>
      <c r="F1081" t="s">
        <v>1342</v>
      </c>
      <c r="G1081">
        <v>6093294484</v>
      </c>
    </row>
    <row r="1082" spans="1:7" x14ac:dyDescent="0.3">
      <c r="A1082" t="s">
        <v>3202</v>
      </c>
      <c r="B1082" t="s">
        <v>3203</v>
      </c>
      <c r="C1082">
        <v>49</v>
      </c>
      <c r="D1082" t="s">
        <v>1336</v>
      </c>
      <c r="E1082" t="s">
        <v>1408</v>
      </c>
      <c r="F1082" t="s">
        <v>1409</v>
      </c>
      <c r="G1082">
        <v>8851071153</v>
      </c>
    </row>
    <row r="1083" spans="1:7" x14ac:dyDescent="0.3">
      <c r="A1083" t="s">
        <v>3204</v>
      </c>
      <c r="B1083" t="s">
        <v>3205</v>
      </c>
      <c r="C1083">
        <v>25</v>
      </c>
      <c r="D1083" t="s">
        <v>1328</v>
      </c>
      <c r="E1083" t="s">
        <v>1377</v>
      </c>
      <c r="F1083" t="s">
        <v>1368</v>
      </c>
      <c r="G1083">
        <v>7952034867</v>
      </c>
    </row>
    <row r="1084" spans="1:7" x14ac:dyDescent="0.3">
      <c r="A1084" t="s">
        <v>3206</v>
      </c>
      <c r="B1084" t="s">
        <v>3207</v>
      </c>
      <c r="C1084">
        <v>26</v>
      </c>
      <c r="D1084" t="s">
        <v>1336</v>
      </c>
      <c r="E1084" t="s">
        <v>1511</v>
      </c>
      <c r="F1084" t="s">
        <v>1419</v>
      </c>
      <c r="G1084">
        <v>9165120873</v>
      </c>
    </row>
    <row r="1085" spans="1:7" x14ac:dyDescent="0.3">
      <c r="A1085" t="s">
        <v>100</v>
      </c>
      <c r="B1085" t="s">
        <v>3208</v>
      </c>
      <c r="C1085">
        <v>53</v>
      </c>
      <c r="D1085" t="s">
        <v>1336</v>
      </c>
      <c r="E1085" t="s">
        <v>1498</v>
      </c>
      <c r="F1085" t="s">
        <v>1362</v>
      </c>
      <c r="G1085">
        <v>7035558127</v>
      </c>
    </row>
    <row r="1086" spans="1:7" x14ac:dyDescent="0.3">
      <c r="A1086" t="s">
        <v>3209</v>
      </c>
      <c r="B1086" t="s">
        <v>3210</v>
      </c>
      <c r="C1086">
        <v>48</v>
      </c>
      <c r="D1086" t="s">
        <v>1328</v>
      </c>
      <c r="E1086" t="s">
        <v>1511</v>
      </c>
      <c r="F1086" t="s">
        <v>1419</v>
      </c>
      <c r="G1086">
        <v>8690354860</v>
      </c>
    </row>
    <row r="1087" spans="1:7" x14ac:dyDescent="0.3">
      <c r="A1087" t="s">
        <v>3211</v>
      </c>
      <c r="B1087" t="s">
        <v>3212</v>
      </c>
      <c r="C1087">
        <v>44</v>
      </c>
      <c r="D1087" t="s">
        <v>1328</v>
      </c>
      <c r="E1087" t="s">
        <v>1365</v>
      </c>
      <c r="F1087" t="s">
        <v>1352</v>
      </c>
      <c r="G1087">
        <v>6163178039</v>
      </c>
    </row>
    <row r="1088" spans="1:7" x14ac:dyDescent="0.3">
      <c r="A1088" t="s">
        <v>1140</v>
      </c>
      <c r="B1088" t="s">
        <v>3213</v>
      </c>
      <c r="C1088">
        <v>19</v>
      </c>
      <c r="D1088" t="s">
        <v>1336</v>
      </c>
      <c r="E1088" t="s">
        <v>1430</v>
      </c>
      <c r="F1088" t="s">
        <v>1330</v>
      </c>
      <c r="G1088">
        <v>8380472025</v>
      </c>
    </row>
    <row r="1089" spans="1:7" x14ac:dyDescent="0.3">
      <c r="A1089" t="s">
        <v>312</v>
      </c>
      <c r="B1089" t="s">
        <v>3214</v>
      </c>
      <c r="C1089">
        <v>49</v>
      </c>
      <c r="D1089" t="s">
        <v>1336</v>
      </c>
      <c r="E1089" t="s">
        <v>1341</v>
      </c>
      <c r="F1089" t="s">
        <v>1342</v>
      </c>
      <c r="G1089">
        <v>9289984030</v>
      </c>
    </row>
    <row r="1090" spans="1:7" x14ac:dyDescent="0.3">
      <c r="A1090" t="s">
        <v>3215</v>
      </c>
      <c r="B1090" t="s">
        <v>3216</v>
      </c>
      <c r="C1090">
        <v>32</v>
      </c>
      <c r="D1090" t="s">
        <v>1336</v>
      </c>
      <c r="E1090" t="s">
        <v>1411</v>
      </c>
      <c r="F1090" t="s">
        <v>1356</v>
      </c>
      <c r="G1090">
        <v>7531388966</v>
      </c>
    </row>
    <row r="1091" spans="1:7" x14ac:dyDescent="0.3">
      <c r="A1091" t="s">
        <v>485</v>
      </c>
      <c r="B1091" t="s">
        <v>3217</v>
      </c>
      <c r="C1091">
        <v>39</v>
      </c>
      <c r="D1091" t="s">
        <v>1328</v>
      </c>
      <c r="E1091" t="s">
        <v>1397</v>
      </c>
      <c r="F1091" t="s">
        <v>1333</v>
      </c>
      <c r="G1091">
        <v>6921786672</v>
      </c>
    </row>
    <row r="1092" spans="1:7" x14ac:dyDescent="0.3">
      <c r="A1092" t="s">
        <v>735</v>
      </c>
      <c r="B1092" t="s">
        <v>3218</v>
      </c>
      <c r="C1092">
        <v>52</v>
      </c>
      <c r="D1092" t="s">
        <v>1336</v>
      </c>
      <c r="E1092" t="s">
        <v>1397</v>
      </c>
      <c r="F1092" t="s">
        <v>1333</v>
      </c>
      <c r="G1092">
        <v>8161278486</v>
      </c>
    </row>
    <row r="1093" spans="1:7" x14ac:dyDescent="0.3">
      <c r="A1093" t="s">
        <v>781</v>
      </c>
      <c r="B1093" t="s">
        <v>3219</v>
      </c>
      <c r="C1093">
        <v>55</v>
      </c>
      <c r="D1093" t="s">
        <v>1328</v>
      </c>
      <c r="E1093" t="s">
        <v>1832</v>
      </c>
      <c r="F1093" t="s">
        <v>1368</v>
      </c>
      <c r="G1093">
        <v>7349370882</v>
      </c>
    </row>
    <row r="1094" spans="1:7" x14ac:dyDescent="0.3">
      <c r="A1094" t="s">
        <v>3220</v>
      </c>
      <c r="B1094" t="s">
        <v>3221</v>
      </c>
      <c r="C1094">
        <v>22</v>
      </c>
      <c r="D1094" t="s">
        <v>1328</v>
      </c>
      <c r="E1094" t="s">
        <v>1602</v>
      </c>
      <c r="F1094" t="s">
        <v>1400</v>
      </c>
      <c r="G1094">
        <v>8432655491</v>
      </c>
    </row>
    <row r="1095" spans="1:7" x14ac:dyDescent="0.3">
      <c r="A1095" t="s">
        <v>3222</v>
      </c>
      <c r="B1095" t="s">
        <v>3223</v>
      </c>
      <c r="C1095">
        <v>41</v>
      </c>
      <c r="D1095" t="s">
        <v>1336</v>
      </c>
      <c r="E1095" t="s">
        <v>1556</v>
      </c>
      <c r="F1095" t="s">
        <v>1333</v>
      </c>
      <c r="G1095">
        <v>6975049060</v>
      </c>
    </row>
    <row r="1096" spans="1:7" x14ac:dyDescent="0.3">
      <c r="A1096" t="s">
        <v>3224</v>
      </c>
      <c r="B1096" t="s">
        <v>3225</v>
      </c>
      <c r="C1096">
        <v>34</v>
      </c>
      <c r="D1096" t="s">
        <v>1328</v>
      </c>
      <c r="E1096" t="s">
        <v>1845</v>
      </c>
      <c r="F1096" t="s">
        <v>1330</v>
      </c>
      <c r="G1096">
        <v>9433370937</v>
      </c>
    </row>
    <row r="1097" spans="1:7" x14ac:dyDescent="0.3">
      <c r="A1097" t="s">
        <v>269</v>
      </c>
      <c r="B1097" t="s">
        <v>3226</v>
      </c>
      <c r="C1097">
        <v>65</v>
      </c>
      <c r="D1097" t="s">
        <v>1336</v>
      </c>
      <c r="E1097" t="s">
        <v>1393</v>
      </c>
      <c r="F1097" t="s">
        <v>1394</v>
      </c>
      <c r="G1097">
        <v>8729859729</v>
      </c>
    </row>
    <row r="1098" spans="1:7" x14ac:dyDescent="0.3">
      <c r="A1098" t="s">
        <v>1142</v>
      </c>
      <c r="B1098" t="s">
        <v>3227</v>
      </c>
      <c r="C1098">
        <v>20</v>
      </c>
      <c r="D1098" t="s">
        <v>1328</v>
      </c>
      <c r="E1098" t="s">
        <v>1438</v>
      </c>
      <c r="F1098" t="s">
        <v>1419</v>
      </c>
      <c r="G1098">
        <v>6162857005</v>
      </c>
    </row>
    <row r="1099" spans="1:7" x14ac:dyDescent="0.3">
      <c r="A1099" t="s">
        <v>867</v>
      </c>
      <c r="B1099" t="s">
        <v>3228</v>
      </c>
      <c r="C1099">
        <v>64</v>
      </c>
      <c r="D1099" t="s">
        <v>1328</v>
      </c>
      <c r="E1099" t="s">
        <v>1475</v>
      </c>
      <c r="F1099" t="s">
        <v>1419</v>
      </c>
      <c r="G1099">
        <v>6472905965</v>
      </c>
    </row>
    <row r="1100" spans="1:7" x14ac:dyDescent="0.3">
      <c r="A1100" t="s">
        <v>3229</v>
      </c>
      <c r="B1100" t="s">
        <v>3230</v>
      </c>
      <c r="C1100">
        <v>36</v>
      </c>
      <c r="D1100" t="s">
        <v>1328</v>
      </c>
      <c r="E1100" t="s">
        <v>1475</v>
      </c>
      <c r="F1100" t="s">
        <v>1419</v>
      </c>
      <c r="G1100">
        <v>7393748182</v>
      </c>
    </row>
    <row r="1101" spans="1:7" x14ac:dyDescent="0.3">
      <c r="A1101" t="s">
        <v>1244</v>
      </c>
      <c r="B1101" t="s">
        <v>3231</v>
      </c>
      <c r="C1101">
        <v>46</v>
      </c>
      <c r="D1101" t="s">
        <v>1336</v>
      </c>
      <c r="E1101" t="s">
        <v>1365</v>
      </c>
      <c r="F1101" t="s">
        <v>1352</v>
      </c>
      <c r="G1101">
        <v>6080804465</v>
      </c>
    </row>
    <row r="1102" spans="1:7" x14ac:dyDescent="0.3">
      <c r="A1102" t="s">
        <v>1038</v>
      </c>
      <c r="B1102" t="s">
        <v>3232</v>
      </c>
      <c r="C1102">
        <v>62</v>
      </c>
      <c r="D1102" t="s">
        <v>1336</v>
      </c>
      <c r="E1102" t="s">
        <v>1351</v>
      </c>
      <c r="F1102" t="s">
        <v>1352</v>
      </c>
      <c r="G1102">
        <v>7750347284</v>
      </c>
    </row>
    <row r="1103" spans="1:7" x14ac:dyDescent="0.3">
      <c r="A1103" t="s">
        <v>3233</v>
      </c>
      <c r="B1103" t="s">
        <v>3234</v>
      </c>
      <c r="C1103">
        <v>36</v>
      </c>
      <c r="D1103" t="s">
        <v>1328</v>
      </c>
      <c r="E1103" t="s">
        <v>1637</v>
      </c>
      <c r="F1103" t="s">
        <v>1368</v>
      </c>
      <c r="G1103">
        <v>9865111620</v>
      </c>
    </row>
    <row r="1104" spans="1:7" x14ac:dyDescent="0.3">
      <c r="A1104" t="s">
        <v>3235</v>
      </c>
      <c r="B1104" t="s">
        <v>3236</v>
      </c>
      <c r="C1104">
        <v>59</v>
      </c>
      <c r="D1104" t="s">
        <v>1336</v>
      </c>
      <c r="E1104" t="s">
        <v>1411</v>
      </c>
      <c r="F1104" t="s">
        <v>1356</v>
      </c>
      <c r="G1104">
        <v>9300558980</v>
      </c>
    </row>
    <row r="1105" spans="1:7" x14ac:dyDescent="0.3">
      <c r="A1105" t="s">
        <v>692</v>
      </c>
      <c r="B1105" t="s">
        <v>3237</v>
      </c>
      <c r="C1105">
        <v>49</v>
      </c>
      <c r="D1105" t="s">
        <v>1336</v>
      </c>
      <c r="E1105" t="s">
        <v>1358</v>
      </c>
      <c r="F1105" t="s">
        <v>1356</v>
      </c>
      <c r="G1105">
        <v>9886928638</v>
      </c>
    </row>
    <row r="1106" spans="1:7" x14ac:dyDescent="0.3">
      <c r="A1106" t="s">
        <v>3238</v>
      </c>
      <c r="B1106" t="s">
        <v>3239</v>
      </c>
      <c r="C1106">
        <v>37</v>
      </c>
      <c r="D1106" t="s">
        <v>1336</v>
      </c>
      <c r="E1106" t="s">
        <v>1386</v>
      </c>
      <c r="F1106" t="s">
        <v>1338</v>
      </c>
      <c r="G1106">
        <v>8488164997</v>
      </c>
    </row>
    <row r="1107" spans="1:7" x14ac:dyDescent="0.3">
      <c r="A1107" t="s">
        <v>3240</v>
      </c>
      <c r="B1107" t="s">
        <v>3241</v>
      </c>
      <c r="C1107">
        <v>25</v>
      </c>
      <c r="D1107" t="s">
        <v>1336</v>
      </c>
      <c r="E1107" t="s">
        <v>1355</v>
      </c>
      <c r="F1107" t="s">
        <v>1356</v>
      </c>
      <c r="G1107">
        <v>6376408695</v>
      </c>
    </row>
    <row r="1108" spans="1:7" x14ac:dyDescent="0.3">
      <c r="A1108" t="s">
        <v>3242</v>
      </c>
      <c r="B1108" t="s">
        <v>3243</v>
      </c>
      <c r="C1108">
        <v>23</v>
      </c>
      <c r="D1108" t="s">
        <v>1336</v>
      </c>
      <c r="E1108" t="s">
        <v>1430</v>
      </c>
      <c r="F1108" t="s">
        <v>1330</v>
      </c>
      <c r="G1108">
        <v>9313694875</v>
      </c>
    </row>
    <row r="1109" spans="1:7" x14ac:dyDescent="0.3">
      <c r="A1109" t="s">
        <v>3244</v>
      </c>
      <c r="B1109" t="s">
        <v>3245</v>
      </c>
      <c r="C1109">
        <v>64</v>
      </c>
      <c r="D1109" t="s">
        <v>1328</v>
      </c>
      <c r="E1109" t="s">
        <v>1498</v>
      </c>
      <c r="F1109" t="s">
        <v>1362</v>
      </c>
      <c r="G1109">
        <v>8207315018</v>
      </c>
    </row>
    <row r="1110" spans="1:7" x14ac:dyDescent="0.3">
      <c r="A1110" t="s">
        <v>3246</v>
      </c>
      <c r="B1110" t="s">
        <v>3247</v>
      </c>
      <c r="C1110">
        <v>34</v>
      </c>
      <c r="D1110" t="s">
        <v>1328</v>
      </c>
      <c r="E1110" t="s">
        <v>1377</v>
      </c>
      <c r="F1110" t="s">
        <v>1368</v>
      </c>
      <c r="G1110">
        <v>9566326475</v>
      </c>
    </row>
    <row r="1111" spans="1:7" x14ac:dyDescent="0.3">
      <c r="A1111" t="s">
        <v>515</v>
      </c>
      <c r="B1111" t="s">
        <v>3248</v>
      </c>
      <c r="C1111">
        <v>19</v>
      </c>
      <c r="D1111" t="s">
        <v>1328</v>
      </c>
      <c r="E1111" t="s">
        <v>1345</v>
      </c>
      <c r="F1111" t="s">
        <v>1330</v>
      </c>
      <c r="G1111">
        <v>8544960850</v>
      </c>
    </row>
    <row r="1112" spans="1:7" x14ac:dyDescent="0.3">
      <c r="A1112" t="s">
        <v>421</v>
      </c>
      <c r="B1112" t="s">
        <v>3249</v>
      </c>
      <c r="C1112">
        <v>40</v>
      </c>
      <c r="D1112" t="s">
        <v>1328</v>
      </c>
      <c r="E1112" t="s">
        <v>1332</v>
      </c>
      <c r="F1112" t="s">
        <v>1333</v>
      </c>
      <c r="G1112">
        <v>6769420786</v>
      </c>
    </row>
    <row r="1113" spans="1:7" x14ac:dyDescent="0.3">
      <c r="A1113" t="s">
        <v>3250</v>
      </c>
      <c r="B1113" t="s">
        <v>3251</v>
      </c>
      <c r="C1113">
        <v>24</v>
      </c>
      <c r="D1113" t="s">
        <v>1336</v>
      </c>
      <c r="E1113" t="s">
        <v>1430</v>
      </c>
      <c r="F1113" t="s">
        <v>1330</v>
      </c>
      <c r="G1113">
        <v>8464299972</v>
      </c>
    </row>
    <row r="1114" spans="1:7" x14ac:dyDescent="0.3">
      <c r="A1114" t="s">
        <v>1202</v>
      </c>
      <c r="B1114" t="s">
        <v>3252</v>
      </c>
      <c r="C1114">
        <v>49</v>
      </c>
      <c r="D1114" t="s">
        <v>1328</v>
      </c>
      <c r="E1114" t="s">
        <v>1591</v>
      </c>
      <c r="F1114" t="s">
        <v>1352</v>
      </c>
      <c r="G1114">
        <v>9903764679</v>
      </c>
    </row>
    <row r="1115" spans="1:7" x14ac:dyDescent="0.3">
      <c r="A1115" t="s">
        <v>3253</v>
      </c>
      <c r="B1115" t="s">
        <v>3254</v>
      </c>
      <c r="C1115">
        <v>23</v>
      </c>
      <c r="D1115" t="s">
        <v>1328</v>
      </c>
      <c r="E1115" t="s">
        <v>1383</v>
      </c>
      <c r="F1115" t="s">
        <v>1338</v>
      </c>
      <c r="G1115">
        <v>7931188307</v>
      </c>
    </row>
    <row r="1116" spans="1:7" x14ac:dyDescent="0.3">
      <c r="A1116" t="s">
        <v>3255</v>
      </c>
      <c r="B1116" t="s">
        <v>3256</v>
      </c>
      <c r="C1116">
        <v>25</v>
      </c>
      <c r="D1116" t="s">
        <v>1336</v>
      </c>
      <c r="E1116" t="s">
        <v>1475</v>
      </c>
      <c r="F1116" t="s">
        <v>1419</v>
      </c>
      <c r="G1116">
        <v>8503583459</v>
      </c>
    </row>
    <row r="1117" spans="1:7" x14ac:dyDescent="0.3">
      <c r="A1117" t="s">
        <v>3257</v>
      </c>
      <c r="B1117" t="s">
        <v>3258</v>
      </c>
      <c r="C1117">
        <v>30</v>
      </c>
      <c r="D1117" t="s">
        <v>1336</v>
      </c>
      <c r="E1117" t="s">
        <v>1381</v>
      </c>
      <c r="F1117" t="s">
        <v>1352</v>
      </c>
      <c r="G1117">
        <v>6141401785</v>
      </c>
    </row>
    <row r="1118" spans="1:7" x14ac:dyDescent="0.3">
      <c r="A1118" t="s">
        <v>3259</v>
      </c>
      <c r="B1118" t="s">
        <v>3260</v>
      </c>
      <c r="C1118">
        <v>51</v>
      </c>
      <c r="D1118" t="s">
        <v>1336</v>
      </c>
      <c r="E1118" t="s">
        <v>1390</v>
      </c>
      <c r="F1118" t="s">
        <v>1391</v>
      </c>
      <c r="G1118">
        <v>7335743601</v>
      </c>
    </row>
    <row r="1119" spans="1:7" x14ac:dyDescent="0.3">
      <c r="A1119" t="s">
        <v>3261</v>
      </c>
      <c r="B1119" t="s">
        <v>3262</v>
      </c>
      <c r="C1119">
        <v>32</v>
      </c>
      <c r="D1119" t="s">
        <v>1328</v>
      </c>
      <c r="E1119" t="s">
        <v>1358</v>
      </c>
      <c r="F1119" t="s">
        <v>1356</v>
      </c>
      <c r="G1119">
        <v>8379352303</v>
      </c>
    </row>
    <row r="1120" spans="1:7" x14ac:dyDescent="0.3">
      <c r="A1120" t="s">
        <v>490</v>
      </c>
      <c r="B1120" t="s">
        <v>3263</v>
      </c>
      <c r="C1120">
        <v>36</v>
      </c>
      <c r="D1120" t="s">
        <v>1328</v>
      </c>
      <c r="E1120" t="s">
        <v>1358</v>
      </c>
      <c r="F1120" t="s">
        <v>1356</v>
      </c>
      <c r="G1120">
        <v>6592384838</v>
      </c>
    </row>
    <row r="1121" spans="1:7" x14ac:dyDescent="0.3">
      <c r="A1121" t="s">
        <v>3264</v>
      </c>
      <c r="B1121" t="s">
        <v>3265</v>
      </c>
      <c r="C1121">
        <v>29</v>
      </c>
      <c r="D1121" t="s">
        <v>1336</v>
      </c>
      <c r="E1121" t="s">
        <v>1347</v>
      </c>
      <c r="F1121" t="s">
        <v>1348</v>
      </c>
      <c r="G1121">
        <v>8823753157</v>
      </c>
    </row>
    <row r="1122" spans="1:7" x14ac:dyDescent="0.3">
      <c r="A1122" t="s">
        <v>3266</v>
      </c>
      <c r="B1122" t="s">
        <v>3267</v>
      </c>
      <c r="C1122">
        <v>65</v>
      </c>
      <c r="D1122" t="s">
        <v>1336</v>
      </c>
      <c r="E1122" t="s">
        <v>1377</v>
      </c>
      <c r="F1122" t="s">
        <v>1368</v>
      </c>
      <c r="G1122">
        <v>8225759504</v>
      </c>
    </row>
    <row r="1123" spans="1:7" x14ac:dyDescent="0.3">
      <c r="A1123" t="s">
        <v>3268</v>
      </c>
      <c r="B1123" t="s">
        <v>3269</v>
      </c>
      <c r="C1123">
        <v>19</v>
      </c>
      <c r="D1123" t="s">
        <v>1328</v>
      </c>
      <c r="E1123" t="s">
        <v>1517</v>
      </c>
      <c r="F1123" t="s">
        <v>1362</v>
      </c>
      <c r="G1123">
        <v>7863575394</v>
      </c>
    </row>
    <row r="1124" spans="1:7" x14ac:dyDescent="0.3">
      <c r="A1124" t="s">
        <v>3270</v>
      </c>
      <c r="B1124" t="s">
        <v>3271</v>
      </c>
      <c r="C1124">
        <v>45</v>
      </c>
      <c r="D1124" t="s">
        <v>1328</v>
      </c>
      <c r="E1124" t="s">
        <v>1747</v>
      </c>
      <c r="F1124" t="s">
        <v>1391</v>
      </c>
      <c r="G1124">
        <v>7915493009</v>
      </c>
    </row>
    <row r="1125" spans="1:7" x14ac:dyDescent="0.3">
      <c r="A1125" t="s">
        <v>1218</v>
      </c>
      <c r="B1125" t="s">
        <v>3272</v>
      </c>
      <c r="C1125">
        <v>42</v>
      </c>
      <c r="D1125" t="s">
        <v>1328</v>
      </c>
      <c r="E1125" t="s">
        <v>1637</v>
      </c>
      <c r="F1125" t="s">
        <v>1368</v>
      </c>
      <c r="G1125">
        <v>6968526972</v>
      </c>
    </row>
    <row r="1126" spans="1:7" x14ac:dyDescent="0.3">
      <c r="A1126" t="s">
        <v>3273</v>
      </c>
      <c r="B1126" t="s">
        <v>3274</v>
      </c>
      <c r="C1126">
        <v>20</v>
      </c>
      <c r="D1126" t="s">
        <v>1328</v>
      </c>
      <c r="E1126" t="s">
        <v>1432</v>
      </c>
      <c r="F1126" t="s">
        <v>1342</v>
      </c>
      <c r="G1126">
        <v>7627678660</v>
      </c>
    </row>
    <row r="1127" spans="1:7" x14ac:dyDescent="0.3">
      <c r="A1127" t="s">
        <v>3275</v>
      </c>
      <c r="B1127" t="s">
        <v>3276</v>
      </c>
      <c r="C1127">
        <v>51</v>
      </c>
      <c r="D1127" t="s">
        <v>1328</v>
      </c>
      <c r="E1127" t="s">
        <v>1542</v>
      </c>
      <c r="F1127" t="s">
        <v>1409</v>
      </c>
      <c r="G1127">
        <v>7469862064</v>
      </c>
    </row>
    <row r="1128" spans="1:7" x14ac:dyDescent="0.3">
      <c r="A1128" t="s">
        <v>853</v>
      </c>
      <c r="B1128" t="s">
        <v>3277</v>
      </c>
      <c r="C1128">
        <v>24</v>
      </c>
      <c r="D1128" t="s">
        <v>1336</v>
      </c>
      <c r="E1128" t="s">
        <v>1355</v>
      </c>
      <c r="F1128" t="s">
        <v>1356</v>
      </c>
      <c r="G1128">
        <v>7637604104</v>
      </c>
    </row>
    <row r="1129" spans="1:7" x14ac:dyDescent="0.3">
      <c r="A1129" t="s">
        <v>1308</v>
      </c>
      <c r="B1129" t="s">
        <v>3278</v>
      </c>
      <c r="C1129">
        <v>52</v>
      </c>
      <c r="D1129" t="s">
        <v>1336</v>
      </c>
      <c r="E1129" t="s">
        <v>1413</v>
      </c>
      <c r="F1129" t="s">
        <v>1348</v>
      </c>
      <c r="G1129">
        <v>6989009728</v>
      </c>
    </row>
    <row r="1130" spans="1:7" x14ac:dyDescent="0.3">
      <c r="A1130" t="s">
        <v>3279</v>
      </c>
      <c r="B1130" t="s">
        <v>3280</v>
      </c>
      <c r="C1130">
        <v>56</v>
      </c>
      <c r="D1130" t="s">
        <v>1336</v>
      </c>
      <c r="E1130" t="s">
        <v>1461</v>
      </c>
      <c r="F1130" t="s">
        <v>1445</v>
      </c>
      <c r="G1130">
        <v>9742786806</v>
      </c>
    </row>
    <row r="1131" spans="1:7" x14ac:dyDescent="0.3">
      <c r="A1131" t="s">
        <v>3281</v>
      </c>
      <c r="B1131" t="s">
        <v>3282</v>
      </c>
      <c r="C1131">
        <v>54</v>
      </c>
      <c r="D1131" t="s">
        <v>1336</v>
      </c>
      <c r="E1131" t="s">
        <v>1337</v>
      </c>
      <c r="F1131" t="s">
        <v>1338</v>
      </c>
      <c r="G1131">
        <v>6351961485</v>
      </c>
    </row>
    <row r="1132" spans="1:7" x14ac:dyDescent="0.3">
      <c r="A1132" t="s">
        <v>3283</v>
      </c>
      <c r="B1132" t="s">
        <v>3284</v>
      </c>
      <c r="C1132">
        <v>25</v>
      </c>
      <c r="D1132" t="s">
        <v>1328</v>
      </c>
      <c r="E1132" t="s">
        <v>1461</v>
      </c>
      <c r="F1132" t="s">
        <v>1445</v>
      </c>
      <c r="G1132">
        <v>9239035016</v>
      </c>
    </row>
    <row r="1133" spans="1:7" x14ac:dyDescent="0.3">
      <c r="A1133" t="s">
        <v>3285</v>
      </c>
      <c r="B1133" t="s">
        <v>3286</v>
      </c>
      <c r="C1133">
        <v>54</v>
      </c>
      <c r="D1133" t="s">
        <v>1336</v>
      </c>
      <c r="E1133" t="s">
        <v>1498</v>
      </c>
      <c r="F1133" t="s">
        <v>1362</v>
      </c>
      <c r="G1133">
        <v>7373057358</v>
      </c>
    </row>
    <row r="1134" spans="1:7" x14ac:dyDescent="0.3">
      <c r="A1134" t="s">
        <v>3287</v>
      </c>
      <c r="B1134" t="s">
        <v>3288</v>
      </c>
      <c r="C1134">
        <v>18</v>
      </c>
      <c r="D1134" t="s">
        <v>1336</v>
      </c>
      <c r="E1134" t="s">
        <v>1332</v>
      </c>
      <c r="F1134" t="s">
        <v>1333</v>
      </c>
      <c r="G1134">
        <v>7954838118</v>
      </c>
    </row>
    <row r="1135" spans="1:7" x14ac:dyDescent="0.3">
      <c r="A1135" t="s">
        <v>3289</v>
      </c>
      <c r="B1135" t="s">
        <v>3290</v>
      </c>
      <c r="C1135">
        <v>42</v>
      </c>
      <c r="D1135" t="s">
        <v>1336</v>
      </c>
      <c r="E1135" t="s">
        <v>1713</v>
      </c>
      <c r="F1135" t="s">
        <v>1409</v>
      </c>
      <c r="G1135">
        <v>7419275975</v>
      </c>
    </row>
    <row r="1136" spans="1:7" x14ac:dyDescent="0.3">
      <c r="A1136" t="s">
        <v>3291</v>
      </c>
      <c r="B1136" t="s">
        <v>3292</v>
      </c>
      <c r="C1136">
        <v>32</v>
      </c>
      <c r="D1136" t="s">
        <v>1336</v>
      </c>
      <c r="E1136" t="s">
        <v>1498</v>
      </c>
      <c r="F1136" t="s">
        <v>1362</v>
      </c>
      <c r="G1136">
        <v>6537669860</v>
      </c>
    </row>
    <row r="1137" spans="1:7" x14ac:dyDescent="0.3">
      <c r="A1137" t="s">
        <v>1030</v>
      </c>
      <c r="B1137" t="s">
        <v>3293</v>
      </c>
      <c r="C1137">
        <v>58</v>
      </c>
      <c r="D1137" t="s">
        <v>1336</v>
      </c>
      <c r="E1137" t="s">
        <v>1371</v>
      </c>
      <c r="F1137" t="s">
        <v>1342</v>
      </c>
      <c r="G1137">
        <v>8640169360</v>
      </c>
    </row>
    <row r="1138" spans="1:7" x14ac:dyDescent="0.3">
      <c r="A1138" t="s">
        <v>3294</v>
      </c>
      <c r="B1138" t="s">
        <v>3295</v>
      </c>
      <c r="C1138">
        <v>32</v>
      </c>
      <c r="D1138" t="s">
        <v>1336</v>
      </c>
      <c r="E1138" t="s">
        <v>1463</v>
      </c>
      <c r="F1138" t="s">
        <v>1391</v>
      </c>
      <c r="G1138">
        <v>8352881243</v>
      </c>
    </row>
    <row r="1139" spans="1:7" x14ac:dyDescent="0.3">
      <c r="A1139" t="s">
        <v>3296</v>
      </c>
      <c r="B1139" t="s">
        <v>3297</v>
      </c>
      <c r="C1139">
        <v>19</v>
      </c>
      <c r="D1139" t="s">
        <v>1336</v>
      </c>
      <c r="E1139" t="s">
        <v>1374</v>
      </c>
      <c r="F1139" t="s">
        <v>1348</v>
      </c>
      <c r="G1139">
        <v>8497435576</v>
      </c>
    </row>
    <row r="1140" spans="1:7" x14ac:dyDescent="0.3">
      <c r="A1140" t="s">
        <v>1028</v>
      </c>
      <c r="B1140" t="s">
        <v>3298</v>
      </c>
      <c r="C1140">
        <v>33</v>
      </c>
      <c r="D1140" t="s">
        <v>1336</v>
      </c>
      <c r="E1140" t="s">
        <v>1403</v>
      </c>
      <c r="F1140" t="s">
        <v>1362</v>
      </c>
      <c r="G1140">
        <v>8872074577</v>
      </c>
    </row>
    <row r="1141" spans="1:7" x14ac:dyDescent="0.3">
      <c r="A1141" t="s">
        <v>1114</v>
      </c>
      <c r="B1141" t="s">
        <v>3299</v>
      </c>
      <c r="C1141">
        <v>65</v>
      </c>
      <c r="D1141" t="s">
        <v>1328</v>
      </c>
      <c r="E1141" t="s">
        <v>1451</v>
      </c>
      <c r="F1141" t="s">
        <v>1445</v>
      </c>
      <c r="G1141">
        <v>7524684253</v>
      </c>
    </row>
    <row r="1142" spans="1:7" x14ac:dyDescent="0.3">
      <c r="A1142" t="s">
        <v>729</v>
      </c>
      <c r="B1142" t="s">
        <v>3300</v>
      </c>
      <c r="C1142">
        <v>36</v>
      </c>
      <c r="D1142" t="s">
        <v>1336</v>
      </c>
      <c r="E1142" t="s">
        <v>1393</v>
      </c>
      <c r="F1142" t="s">
        <v>1394</v>
      </c>
      <c r="G1142">
        <v>9870588220</v>
      </c>
    </row>
    <row r="1143" spans="1:7" x14ac:dyDescent="0.3">
      <c r="A1143" t="s">
        <v>3301</v>
      </c>
      <c r="B1143" t="s">
        <v>3302</v>
      </c>
      <c r="C1143">
        <v>32</v>
      </c>
      <c r="D1143" t="s">
        <v>1328</v>
      </c>
      <c r="E1143" t="s">
        <v>1713</v>
      </c>
      <c r="F1143" t="s">
        <v>1409</v>
      </c>
      <c r="G1143">
        <v>9846481618</v>
      </c>
    </row>
    <row r="1144" spans="1:7" x14ac:dyDescent="0.3">
      <c r="A1144" t="s">
        <v>3303</v>
      </c>
      <c r="B1144" t="s">
        <v>3304</v>
      </c>
      <c r="C1144">
        <v>41</v>
      </c>
      <c r="D1144" t="s">
        <v>1328</v>
      </c>
      <c r="E1144" t="s">
        <v>1568</v>
      </c>
      <c r="F1144" t="s">
        <v>1445</v>
      </c>
      <c r="G1144">
        <v>9167660925</v>
      </c>
    </row>
    <row r="1145" spans="1:7" x14ac:dyDescent="0.3">
      <c r="A1145" t="s">
        <v>3305</v>
      </c>
      <c r="B1145" t="s">
        <v>3306</v>
      </c>
      <c r="C1145">
        <v>41</v>
      </c>
      <c r="D1145" t="s">
        <v>1328</v>
      </c>
      <c r="E1145" t="s">
        <v>1478</v>
      </c>
      <c r="F1145" t="s">
        <v>1391</v>
      </c>
      <c r="G1145">
        <v>8266293829</v>
      </c>
    </row>
    <row r="1146" spans="1:7" x14ac:dyDescent="0.3">
      <c r="A1146" t="s">
        <v>3307</v>
      </c>
      <c r="B1146" t="s">
        <v>3308</v>
      </c>
      <c r="C1146">
        <v>39</v>
      </c>
      <c r="D1146" t="s">
        <v>1328</v>
      </c>
      <c r="E1146" t="s">
        <v>1461</v>
      </c>
      <c r="F1146" t="s">
        <v>1445</v>
      </c>
      <c r="G1146">
        <v>9259702867</v>
      </c>
    </row>
    <row r="1147" spans="1:7" x14ac:dyDescent="0.3">
      <c r="A1147" t="s">
        <v>3309</v>
      </c>
      <c r="B1147" t="s">
        <v>3310</v>
      </c>
      <c r="C1147">
        <v>20</v>
      </c>
      <c r="D1147" t="s">
        <v>1336</v>
      </c>
      <c r="E1147" t="s">
        <v>1403</v>
      </c>
      <c r="F1147" t="s">
        <v>1362</v>
      </c>
      <c r="G1147">
        <v>7939741717</v>
      </c>
    </row>
    <row r="1148" spans="1:7" x14ac:dyDescent="0.3">
      <c r="A1148" t="s">
        <v>181</v>
      </c>
      <c r="B1148" t="s">
        <v>3311</v>
      </c>
      <c r="C1148">
        <v>62</v>
      </c>
      <c r="D1148" t="s">
        <v>1328</v>
      </c>
      <c r="E1148" t="s">
        <v>1358</v>
      </c>
      <c r="F1148" t="s">
        <v>1356</v>
      </c>
      <c r="G1148">
        <v>6670012178</v>
      </c>
    </row>
    <row r="1149" spans="1:7" x14ac:dyDescent="0.3">
      <c r="A1149" t="s">
        <v>3312</v>
      </c>
      <c r="B1149" t="s">
        <v>3313</v>
      </c>
      <c r="C1149">
        <v>53</v>
      </c>
      <c r="D1149" t="s">
        <v>1328</v>
      </c>
      <c r="E1149" t="s">
        <v>1388</v>
      </c>
      <c r="F1149" t="s">
        <v>1342</v>
      </c>
      <c r="G1149">
        <v>7681794881</v>
      </c>
    </row>
    <row r="1150" spans="1:7" x14ac:dyDescent="0.3">
      <c r="A1150" t="s">
        <v>3314</v>
      </c>
      <c r="B1150" t="s">
        <v>3315</v>
      </c>
      <c r="C1150">
        <v>28</v>
      </c>
      <c r="D1150" t="s">
        <v>1336</v>
      </c>
      <c r="E1150" t="s">
        <v>1418</v>
      </c>
      <c r="F1150" t="s">
        <v>1419</v>
      </c>
      <c r="G1150">
        <v>6005177836</v>
      </c>
    </row>
    <row r="1151" spans="1:7" x14ac:dyDescent="0.3">
      <c r="A1151" t="s">
        <v>3316</v>
      </c>
      <c r="B1151" t="s">
        <v>3317</v>
      </c>
      <c r="C1151">
        <v>41</v>
      </c>
      <c r="D1151" t="s">
        <v>1336</v>
      </c>
      <c r="E1151" t="s">
        <v>1599</v>
      </c>
      <c r="F1151" t="s">
        <v>1400</v>
      </c>
      <c r="G1151">
        <v>6321494909</v>
      </c>
    </row>
    <row r="1152" spans="1:7" x14ac:dyDescent="0.3">
      <c r="A1152" t="s">
        <v>3318</v>
      </c>
      <c r="B1152" t="s">
        <v>3319</v>
      </c>
      <c r="C1152">
        <v>57</v>
      </c>
      <c r="D1152" t="s">
        <v>1336</v>
      </c>
      <c r="E1152" t="s">
        <v>1501</v>
      </c>
      <c r="F1152" t="s">
        <v>1394</v>
      </c>
      <c r="G1152">
        <v>9310499519</v>
      </c>
    </row>
    <row r="1153" spans="1:7" x14ac:dyDescent="0.3">
      <c r="A1153" t="s">
        <v>129</v>
      </c>
      <c r="B1153" t="s">
        <v>3320</v>
      </c>
      <c r="C1153">
        <v>39</v>
      </c>
      <c r="D1153" t="s">
        <v>1328</v>
      </c>
      <c r="E1153" t="s">
        <v>1475</v>
      </c>
      <c r="F1153" t="s">
        <v>1419</v>
      </c>
      <c r="G1153">
        <v>7172837477</v>
      </c>
    </row>
    <row r="1154" spans="1:7" x14ac:dyDescent="0.3">
      <c r="A1154" t="s">
        <v>964</v>
      </c>
      <c r="B1154" t="s">
        <v>3321</v>
      </c>
      <c r="C1154">
        <v>48</v>
      </c>
      <c r="D1154" t="s">
        <v>1336</v>
      </c>
      <c r="E1154" t="s">
        <v>1415</v>
      </c>
      <c r="F1154" t="s">
        <v>1348</v>
      </c>
      <c r="G1154">
        <v>8199811161</v>
      </c>
    </row>
    <row r="1155" spans="1:7" x14ac:dyDescent="0.3">
      <c r="A1155" t="s">
        <v>3322</v>
      </c>
      <c r="B1155" t="s">
        <v>3323</v>
      </c>
      <c r="C1155">
        <v>24</v>
      </c>
      <c r="D1155" t="s">
        <v>1336</v>
      </c>
      <c r="E1155" t="s">
        <v>1747</v>
      </c>
      <c r="F1155" t="s">
        <v>1391</v>
      </c>
      <c r="G1155">
        <v>6532666631</v>
      </c>
    </row>
    <row r="1156" spans="1:7" x14ac:dyDescent="0.3">
      <c r="A1156" t="s">
        <v>3324</v>
      </c>
      <c r="B1156" t="s">
        <v>3325</v>
      </c>
      <c r="C1156">
        <v>32</v>
      </c>
      <c r="D1156" t="s">
        <v>1336</v>
      </c>
      <c r="E1156" t="s">
        <v>1466</v>
      </c>
      <c r="F1156" t="s">
        <v>1338</v>
      </c>
      <c r="G1156">
        <v>8560692739</v>
      </c>
    </row>
    <row r="1157" spans="1:7" x14ac:dyDescent="0.3">
      <c r="A1157" t="s">
        <v>3326</v>
      </c>
      <c r="B1157" t="s">
        <v>3327</v>
      </c>
      <c r="C1157">
        <v>52</v>
      </c>
      <c r="D1157" t="s">
        <v>1336</v>
      </c>
      <c r="E1157" t="s">
        <v>1498</v>
      </c>
      <c r="F1157" t="s">
        <v>1362</v>
      </c>
      <c r="G1157">
        <v>6431057912</v>
      </c>
    </row>
    <row r="1158" spans="1:7" x14ac:dyDescent="0.3">
      <c r="A1158" t="s">
        <v>3328</v>
      </c>
      <c r="B1158" t="s">
        <v>3329</v>
      </c>
      <c r="C1158">
        <v>34</v>
      </c>
      <c r="D1158" t="s">
        <v>1336</v>
      </c>
      <c r="E1158" t="s">
        <v>1388</v>
      </c>
      <c r="F1158" t="s">
        <v>1342</v>
      </c>
      <c r="G1158">
        <v>9325087575</v>
      </c>
    </row>
    <row r="1159" spans="1:7" x14ac:dyDescent="0.3">
      <c r="A1159" t="s">
        <v>652</v>
      </c>
      <c r="B1159" t="s">
        <v>3330</v>
      </c>
      <c r="C1159">
        <v>27</v>
      </c>
      <c r="D1159" t="s">
        <v>1336</v>
      </c>
      <c r="E1159" t="s">
        <v>1337</v>
      </c>
      <c r="F1159" t="s">
        <v>1338</v>
      </c>
      <c r="G1159">
        <v>9584881308</v>
      </c>
    </row>
    <row r="1160" spans="1:7" x14ac:dyDescent="0.3">
      <c r="A1160" t="s">
        <v>821</v>
      </c>
      <c r="B1160" t="s">
        <v>3331</v>
      </c>
      <c r="C1160">
        <v>56</v>
      </c>
      <c r="D1160" t="s">
        <v>1328</v>
      </c>
      <c r="E1160" t="s">
        <v>1383</v>
      </c>
      <c r="F1160" t="s">
        <v>1338</v>
      </c>
      <c r="G1160">
        <v>8906110730</v>
      </c>
    </row>
    <row r="1161" spans="1:7" x14ac:dyDescent="0.3">
      <c r="A1161" t="s">
        <v>3332</v>
      </c>
      <c r="B1161" t="s">
        <v>3333</v>
      </c>
      <c r="C1161">
        <v>53</v>
      </c>
      <c r="D1161" t="s">
        <v>1328</v>
      </c>
      <c r="E1161" t="s">
        <v>1594</v>
      </c>
      <c r="F1161" t="s">
        <v>1445</v>
      </c>
      <c r="G1161">
        <v>6224581496</v>
      </c>
    </row>
    <row r="1162" spans="1:7" x14ac:dyDescent="0.3">
      <c r="A1162" t="s">
        <v>3334</v>
      </c>
      <c r="B1162" t="s">
        <v>3335</v>
      </c>
      <c r="C1162">
        <v>20</v>
      </c>
      <c r="D1162" t="s">
        <v>1336</v>
      </c>
      <c r="E1162" t="s">
        <v>1456</v>
      </c>
      <c r="F1162" t="s">
        <v>1394</v>
      </c>
      <c r="G1162">
        <v>7856540881</v>
      </c>
    </row>
    <row r="1163" spans="1:7" x14ac:dyDescent="0.3">
      <c r="A1163" t="s">
        <v>359</v>
      </c>
      <c r="B1163" t="s">
        <v>3336</v>
      </c>
      <c r="C1163">
        <v>40</v>
      </c>
      <c r="D1163" t="s">
        <v>1328</v>
      </c>
      <c r="E1163" t="s">
        <v>1390</v>
      </c>
      <c r="F1163" t="s">
        <v>1391</v>
      </c>
      <c r="G1163">
        <v>8688437615</v>
      </c>
    </row>
    <row r="1164" spans="1:7" x14ac:dyDescent="0.3">
      <c r="A1164" t="s">
        <v>1180</v>
      </c>
      <c r="B1164" t="s">
        <v>3337</v>
      </c>
      <c r="C1164">
        <v>65</v>
      </c>
      <c r="D1164" t="s">
        <v>1328</v>
      </c>
      <c r="E1164" t="s">
        <v>1397</v>
      </c>
      <c r="F1164" t="s">
        <v>1333</v>
      </c>
      <c r="G1164">
        <v>9945128017</v>
      </c>
    </row>
    <row r="1165" spans="1:7" x14ac:dyDescent="0.3">
      <c r="A1165" t="s">
        <v>83</v>
      </c>
      <c r="B1165" t="s">
        <v>3338</v>
      </c>
      <c r="C1165">
        <v>58</v>
      </c>
      <c r="D1165" t="s">
        <v>1328</v>
      </c>
      <c r="E1165" t="s">
        <v>1478</v>
      </c>
      <c r="F1165" t="s">
        <v>1391</v>
      </c>
      <c r="G1165">
        <v>7581307081</v>
      </c>
    </row>
    <row r="1166" spans="1:7" x14ac:dyDescent="0.3">
      <c r="A1166" t="s">
        <v>3339</v>
      </c>
      <c r="B1166" t="s">
        <v>3340</v>
      </c>
      <c r="C1166">
        <v>41</v>
      </c>
      <c r="D1166" t="s">
        <v>1328</v>
      </c>
      <c r="E1166" t="s">
        <v>1418</v>
      </c>
      <c r="F1166" t="s">
        <v>1419</v>
      </c>
      <c r="G1166">
        <v>8989494133</v>
      </c>
    </row>
    <row r="1167" spans="1:7" x14ac:dyDescent="0.3">
      <c r="A1167" t="s">
        <v>3341</v>
      </c>
      <c r="B1167" t="s">
        <v>3342</v>
      </c>
      <c r="C1167">
        <v>45</v>
      </c>
      <c r="D1167" t="s">
        <v>1336</v>
      </c>
      <c r="E1167" t="s">
        <v>1332</v>
      </c>
      <c r="F1167" t="s">
        <v>1333</v>
      </c>
      <c r="G1167">
        <v>9926508724</v>
      </c>
    </row>
    <row r="1168" spans="1:7" x14ac:dyDescent="0.3">
      <c r="A1168" t="s">
        <v>3343</v>
      </c>
      <c r="B1168" t="s">
        <v>3344</v>
      </c>
      <c r="C1168">
        <v>38</v>
      </c>
      <c r="D1168" t="s">
        <v>1328</v>
      </c>
      <c r="E1168" t="s">
        <v>1511</v>
      </c>
      <c r="F1168" t="s">
        <v>1419</v>
      </c>
      <c r="G1168">
        <v>8217417884</v>
      </c>
    </row>
    <row r="1169" spans="1:7" x14ac:dyDescent="0.3">
      <c r="A1169" t="s">
        <v>3345</v>
      </c>
      <c r="B1169" t="s">
        <v>3346</v>
      </c>
      <c r="C1169">
        <v>24</v>
      </c>
      <c r="D1169" t="s">
        <v>1328</v>
      </c>
      <c r="E1169" t="s">
        <v>1591</v>
      </c>
      <c r="F1169" t="s">
        <v>1352</v>
      </c>
      <c r="G1169">
        <v>9699777614</v>
      </c>
    </row>
    <row r="1170" spans="1:7" x14ac:dyDescent="0.3">
      <c r="A1170" t="s">
        <v>3347</v>
      </c>
      <c r="B1170" t="s">
        <v>3348</v>
      </c>
      <c r="C1170">
        <v>43</v>
      </c>
      <c r="D1170" t="s">
        <v>1336</v>
      </c>
      <c r="E1170" t="s">
        <v>1397</v>
      </c>
      <c r="F1170" t="s">
        <v>1333</v>
      </c>
      <c r="G1170">
        <v>7690914884</v>
      </c>
    </row>
    <row r="1171" spans="1:7" x14ac:dyDescent="0.3">
      <c r="A1171" t="s">
        <v>513</v>
      </c>
      <c r="B1171" t="s">
        <v>3349</v>
      </c>
      <c r="C1171">
        <v>25</v>
      </c>
      <c r="D1171" t="s">
        <v>1328</v>
      </c>
      <c r="E1171" t="s">
        <v>1845</v>
      </c>
      <c r="F1171" t="s">
        <v>1330</v>
      </c>
      <c r="G1171">
        <v>7124164597</v>
      </c>
    </row>
    <row r="1172" spans="1:7" x14ac:dyDescent="0.3">
      <c r="A1172" t="s">
        <v>3350</v>
      </c>
      <c r="B1172" t="s">
        <v>3351</v>
      </c>
      <c r="C1172">
        <v>30</v>
      </c>
      <c r="D1172" t="s">
        <v>1336</v>
      </c>
      <c r="E1172" t="s">
        <v>1393</v>
      </c>
      <c r="F1172" t="s">
        <v>1394</v>
      </c>
      <c r="G1172">
        <v>9648327492</v>
      </c>
    </row>
    <row r="1173" spans="1:7" x14ac:dyDescent="0.3">
      <c r="A1173" t="s">
        <v>3352</v>
      </c>
      <c r="B1173" t="s">
        <v>3353</v>
      </c>
      <c r="C1173">
        <v>30</v>
      </c>
      <c r="D1173" t="s">
        <v>1336</v>
      </c>
      <c r="E1173" t="s">
        <v>1456</v>
      </c>
      <c r="F1173" t="s">
        <v>1394</v>
      </c>
      <c r="G1173">
        <v>6456672749</v>
      </c>
    </row>
    <row r="1174" spans="1:7" x14ac:dyDescent="0.3">
      <c r="A1174" t="s">
        <v>3354</v>
      </c>
      <c r="B1174" t="s">
        <v>3355</v>
      </c>
      <c r="C1174">
        <v>59</v>
      </c>
      <c r="D1174" t="s">
        <v>1336</v>
      </c>
      <c r="E1174" t="s">
        <v>1511</v>
      </c>
      <c r="F1174" t="s">
        <v>1419</v>
      </c>
      <c r="G1174">
        <v>6734940051</v>
      </c>
    </row>
    <row r="1175" spans="1:7" x14ac:dyDescent="0.3">
      <c r="A1175" t="s">
        <v>3356</v>
      </c>
      <c r="B1175" t="s">
        <v>3357</v>
      </c>
      <c r="C1175">
        <v>39</v>
      </c>
      <c r="D1175" t="s">
        <v>1328</v>
      </c>
      <c r="E1175" t="s">
        <v>1498</v>
      </c>
      <c r="F1175" t="s">
        <v>1362</v>
      </c>
      <c r="G1175">
        <v>9010270788</v>
      </c>
    </row>
    <row r="1176" spans="1:7" x14ac:dyDescent="0.3">
      <c r="A1176" t="s">
        <v>3358</v>
      </c>
      <c r="B1176" t="s">
        <v>3359</v>
      </c>
      <c r="C1176">
        <v>65</v>
      </c>
      <c r="D1176" t="s">
        <v>1336</v>
      </c>
      <c r="E1176" t="s">
        <v>1602</v>
      </c>
      <c r="F1176" t="s">
        <v>1400</v>
      </c>
      <c r="G1176">
        <v>6382490275</v>
      </c>
    </row>
    <row r="1177" spans="1:7" x14ac:dyDescent="0.3">
      <c r="A1177" t="s">
        <v>900</v>
      </c>
      <c r="B1177" t="s">
        <v>3360</v>
      </c>
      <c r="C1177">
        <v>50</v>
      </c>
      <c r="D1177" t="s">
        <v>1336</v>
      </c>
      <c r="E1177" t="s">
        <v>1367</v>
      </c>
      <c r="F1177" t="s">
        <v>1368</v>
      </c>
      <c r="G1177">
        <v>9093600252</v>
      </c>
    </row>
    <row r="1178" spans="1:7" x14ac:dyDescent="0.3">
      <c r="A1178" t="s">
        <v>464</v>
      </c>
      <c r="B1178" t="s">
        <v>3361</v>
      </c>
      <c r="C1178">
        <v>51</v>
      </c>
      <c r="D1178" t="s">
        <v>1328</v>
      </c>
      <c r="E1178" t="s">
        <v>1345</v>
      </c>
      <c r="F1178" t="s">
        <v>1330</v>
      </c>
      <c r="G1178">
        <v>6878715248</v>
      </c>
    </row>
    <row r="1179" spans="1:7" x14ac:dyDescent="0.3">
      <c r="A1179" t="s">
        <v>24</v>
      </c>
      <c r="B1179" t="s">
        <v>3362</v>
      </c>
      <c r="C1179">
        <v>23</v>
      </c>
      <c r="D1179" t="s">
        <v>1328</v>
      </c>
      <c r="E1179" t="s">
        <v>1430</v>
      </c>
      <c r="F1179" t="s">
        <v>1330</v>
      </c>
      <c r="G1179">
        <v>7865406993</v>
      </c>
    </row>
    <row r="1180" spans="1:7" x14ac:dyDescent="0.3">
      <c r="A1180" t="s">
        <v>3363</v>
      </c>
      <c r="B1180" t="s">
        <v>3364</v>
      </c>
      <c r="C1180">
        <v>26</v>
      </c>
      <c r="D1180" t="s">
        <v>1336</v>
      </c>
      <c r="E1180" t="s">
        <v>1337</v>
      </c>
      <c r="F1180" t="s">
        <v>1338</v>
      </c>
      <c r="G1180">
        <v>8776245374</v>
      </c>
    </row>
    <row r="1181" spans="1:7" x14ac:dyDescent="0.3">
      <c r="A1181" t="s">
        <v>1288</v>
      </c>
      <c r="B1181" t="s">
        <v>3365</v>
      </c>
      <c r="C1181">
        <v>30</v>
      </c>
      <c r="D1181" t="s">
        <v>1336</v>
      </c>
      <c r="E1181" t="s">
        <v>1466</v>
      </c>
      <c r="F1181" t="s">
        <v>1338</v>
      </c>
      <c r="G1181">
        <v>6008507962</v>
      </c>
    </row>
    <row r="1182" spans="1:7" x14ac:dyDescent="0.3">
      <c r="A1182" t="s">
        <v>3366</v>
      </c>
      <c r="B1182" t="s">
        <v>3367</v>
      </c>
      <c r="C1182">
        <v>39</v>
      </c>
      <c r="D1182" t="s">
        <v>1328</v>
      </c>
      <c r="E1182" t="s">
        <v>1351</v>
      </c>
      <c r="F1182" t="s">
        <v>1352</v>
      </c>
      <c r="G1182">
        <v>9762746771</v>
      </c>
    </row>
    <row r="1183" spans="1:7" x14ac:dyDescent="0.3">
      <c r="A1183" t="s">
        <v>3368</v>
      </c>
      <c r="B1183" t="s">
        <v>3369</v>
      </c>
      <c r="C1183">
        <v>60</v>
      </c>
      <c r="D1183" t="s">
        <v>1328</v>
      </c>
      <c r="E1183" t="s">
        <v>1556</v>
      </c>
      <c r="F1183" t="s">
        <v>1333</v>
      </c>
      <c r="G1183">
        <v>7977063055</v>
      </c>
    </row>
    <row r="1184" spans="1:7" x14ac:dyDescent="0.3">
      <c r="A1184" t="s">
        <v>1080</v>
      </c>
      <c r="B1184" t="s">
        <v>3370</v>
      </c>
      <c r="C1184">
        <v>33</v>
      </c>
      <c r="D1184" t="s">
        <v>1336</v>
      </c>
      <c r="E1184" t="s">
        <v>1556</v>
      </c>
      <c r="F1184" t="s">
        <v>1333</v>
      </c>
      <c r="G1184">
        <v>6996691019</v>
      </c>
    </row>
    <row r="1185" spans="1:7" x14ac:dyDescent="0.3">
      <c r="A1185" t="s">
        <v>3371</v>
      </c>
      <c r="B1185" t="s">
        <v>3372</v>
      </c>
      <c r="C1185">
        <v>20</v>
      </c>
      <c r="D1185" t="s">
        <v>1328</v>
      </c>
      <c r="E1185" t="s">
        <v>1415</v>
      </c>
      <c r="F1185" t="s">
        <v>1348</v>
      </c>
      <c r="G1185">
        <v>8710112076</v>
      </c>
    </row>
    <row r="1186" spans="1:7" x14ac:dyDescent="0.3">
      <c r="A1186" t="s">
        <v>3373</v>
      </c>
      <c r="B1186" t="s">
        <v>3374</v>
      </c>
      <c r="C1186">
        <v>22</v>
      </c>
      <c r="D1186" t="s">
        <v>1328</v>
      </c>
      <c r="E1186" t="s">
        <v>1422</v>
      </c>
      <c r="F1186" t="s">
        <v>1330</v>
      </c>
      <c r="G1186">
        <v>7021279013</v>
      </c>
    </row>
    <row r="1187" spans="1:7" x14ac:dyDescent="0.3">
      <c r="A1187" t="s">
        <v>3375</v>
      </c>
      <c r="B1187" t="s">
        <v>3376</v>
      </c>
      <c r="C1187">
        <v>64</v>
      </c>
      <c r="D1187" t="s">
        <v>1328</v>
      </c>
      <c r="E1187" t="s">
        <v>1461</v>
      </c>
      <c r="F1187" t="s">
        <v>1445</v>
      </c>
      <c r="G1187">
        <v>6162476715</v>
      </c>
    </row>
    <row r="1188" spans="1:7" x14ac:dyDescent="0.3">
      <c r="A1188" t="s">
        <v>3377</v>
      </c>
      <c r="B1188" t="s">
        <v>3378</v>
      </c>
      <c r="C1188">
        <v>25</v>
      </c>
      <c r="D1188" t="s">
        <v>1328</v>
      </c>
      <c r="E1188" t="s">
        <v>1649</v>
      </c>
      <c r="F1188" t="s">
        <v>1391</v>
      </c>
      <c r="G1188">
        <v>9254138117</v>
      </c>
    </row>
    <row r="1189" spans="1:7" x14ac:dyDescent="0.3">
      <c r="A1189" t="s">
        <v>3379</v>
      </c>
      <c r="B1189" t="s">
        <v>3380</v>
      </c>
      <c r="C1189">
        <v>30</v>
      </c>
      <c r="D1189" t="s">
        <v>1336</v>
      </c>
      <c r="E1189" t="s">
        <v>1381</v>
      </c>
      <c r="F1189" t="s">
        <v>1352</v>
      </c>
      <c r="G1189">
        <v>9218257201</v>
      </c>
    </row>
    <row r="1190" spans="1:7" x14ac:dyDescent="0.3">
      <c r="A1190" t="s">
        <v>3381</v>
      </c>
      <c r="B1190" t="s">
        <v>3382</v>
      </c>
      <c r="C1190">
        <v>28</v>
      </c>
      <c r="D1190" t="s">
        <v>1328</v>
      </c>
      <c r="E1190" t="s">
        <v>1591</v>
      </c>
      <c r="F1190" t="s">
        <v>1352</v>
      </c>
      <c r="G1190">
        <v>8697043532</v>
      </c>
    </row>
    <row r="1191" spans="1:7" x14ac:dyDescent="0.3">
      <c r="A1191" t="s">
        <v>910</v>
      </c>
      <c r="B1191" t="s">
        <v>3383</v>
      </c>
      <c r="C1191">
        <v>52</v>
      </c>
      <c r="D1191" t="s">
        <v>1336</v>
      </c>
      <c r="E1191" t="s">
        <v>1332</v>
      </c>
      <c r="F1191" t="s">
        <v>1333</v>
      </c>
      <c r="G1191">
        <v>7684739057</v>
      </c>
    </row>
    <row r="1192" spans="1:7" x14ac:dyDescent="0.3">
      <c r="A1192" t="s">
        <v>51</v>
      </c>
      <c r="B1192" t="s">
        <v>3384</v>
      </c>
      <c r="C1192">
        <v>65</v>
      </c>
      <c r="D1192" t="s">
        <v>1328</v>
      </c>
      <c r="E1192" t="s">
        <v>1501</v>
      </c>
      <c r="F1192" t="s">
        <v>1394</v>
      </c>
      <c r="G1192">
        <v>7771375064</v>
      </c>
    </row>
    <row r="1193" spans="1:7" x14ac:dyDescent="0.3">
      <c r="A1193" t="s">
        <v>994</v>
      </c>
      <c r="B1193" t="s">
        <v>3385</v>
      </c>
      <c r="C1193">
        <v>54</v>
      </c>
      <c r="D1193" t="s">
        <v>1336</v>
      </c>
      <c r="E1193" t="s">
        <v>1511</v>
      </c>
      <c r="F1193" t="s">
        <v>1419</v>
      </c>
      <c r="G1193">
        <v>6382641404</v>
      </c>
    </row>
    <row r="1194" spans="1:7" x14ac:dyDescent="0.3">
      <c r="A1194" t="s">
        <v>3386</v>
      </c>
      <c r="B1194" t="s">
        <v>3387</v>
      </c>
      <c r="C1194">
        <v>59</v>
      </c>
      <c r="D1194" t="s">
        <v>1328</v>
      </c>
      <c r="E1194" t="s">
        <v>1399</v>
      </c>
      <c r="F1194" t="s">
        <v>1400</v>
      </c>
      <c r="G1194">
        <v>6034327565</v>
      </c>
    </row>
    <row r="1195" spans="1:7" x14ac:dyDescent="0.3">
      <c r="A1195" t="s">
        <v>1304</v>
      </c>
      <c r="B1195" t="s">
        <v>3388</v>
      </c>
      <c r="C1195">
        <v>61</v>
      </c>
      <c r="D1195" t="s">
        <v>1336</v>
      </c>
      <c r="E1195" t="s">
        <v>1444</v>
      </c>
      <c r="F1195" t="s">
        <v>1445</v>
      </c>
      <c r="G1195">
        <v>8967904114</v>
      </c>
    </row>
    <row r="1196" spans="1:7" x14ac:dyDescent="0.3">
      <c r="A1196" t="s">
        <v>3389</v>
      </c>
      <c r="B1196" t="s">
        <v>3390</v>
      </c>
      <c r="C1196">
        <v>45</v>
      </c>
      <c r="D1196" t="s">
        <v>1328</v>
      </c>
      <c r="E1196" t="s">
        <v>1463</v>
      </c>
      <c r="F1196" t="s">
        <v>1391</v>
      </c>
      <c r="G1196">
        <v>6235112304</v>
      </c>
    </row>
    <row r="1197" spans="1:7" x14ac:dyDescent="0.3">
      <c r="A1197" t="s">
        <v>3391</v>
      </c>
      <c r="B1197" t="s">
        <v>3392</v>
      </c>
      <c r="C1197">
        <v>36</v>
      </c>
      <c r="D1197" t="s">
        <v>1328</v>
      </c>
      <c r="E1197" t="s">
        <v>1501</v>
      </c>
      <c r="F1197" t="s">
        <v>1394</v>
      </c>
      <c r="G1197">
        <v>6546795532</v>
      </c>
    </row>
    <row r="1198" spans="1:7" x14ac:dyDescent="0.3">
      <c r="A1198" t="s">
        <v>3393</v>
      </c>
      <c r="B1198" t="s">
        <v>3394</v>
      </c>
      <c r="C1198">
        <v>51</v>
      </c>
      <c r="D1198" t="s">
        <v>1328</v>
      </c>
      <c r="E1198" t="s">
        <v>1390</v>
      </c>
      <c r="F1198" t="s">
        <v>1391</v>
      </c>
      <c r="G1198">
        <v>8510846896</v>
      </c>
    </row>
    <row r="1199" spans="1:7" x14ac:dyDescent="0.3">
      <c r="A1199" t="s">
        <v>3395</v>
      </c>
      <c r="B1199" t="s">
        <v>3396</v>
      </c>
      <c r="C1199">
        <v>21</v>
      </c>
      <c r="D1199" t="s">
        <v>1336</v>
      </c>
      <c r="E1199" t="s">
        <v>1371</v>
      </c>
      <c r="F1199" t="s">
        <v>1342</v>
      </c>
      <c r="G1199">
        <v>7718868368</v>
      </c>
    </row>
    <row r="1200" spans="1:7" x14ac:dyDescent="0.3">
      <c r="A1200" t="s">
        <v>3397</v>
      </c>
      <c r="B1200" t="s">
        <v>3398</v>
      </c>
      <c r="C1200">
        <v>56</v>
      </c>
      <c r="D1200" t="s">
        <v>1336</v>
      </c>
      <c r="E1200" t="s">
        <v>1713</v>
      </c>
      <c r="F1200" t="s">
        <v>1409</v>
      </c>
      <c r="G1200">
        <v>7942995999</v>
      </c>
    </row>
    <row r="1201" spans="1:7" x14ac:dyDescent="0.3">
      <c r="A1201" t="s">
        <v>3399</v>
      </c>
      <c r="B1201" t="s">
        <v>3400</v>
      </c>
      <c r="C1201">
        <v>50</v>
      </c>
      <c r="D1201" t="s">
        <v>1336</v>
      </c>
      <c r="E1201" t="s">
        <v>1542</v>
      </c>
      <c r="F1201" t="s">
        <v>1409</v>
      </c>
      <c r="G1201">
        <v>9434048160</v>
      </c>
    </row>
    <row r="1202" spans="1:7" x14ac:dyDescent="0.3">
      <c r="A1202" t="s">
        <v>3401</v>
      </c>
      <c r="B1202" t="s">
        <v>3402</v>
      </c>
      <c r="C1202">
        <v>36</v>
      </c>
      <c r="D1202" t="s">
        <v>1328</v>
      </c>
      <c r="E1202" t="s">
        <v>1478</v>
      </c>
      <c r="F1202" t="s">
        <v>1391</v>
      </c>
      <c r="G1202">
        <v>8425275896</v>
      </c>
    </row>
    <row r="1203" spans="1:7" x14ac:dyDescent="0.3">
      <c r="A1203" t="s">
        <v>3403</v>
      </c>
      <c r="B1203" t="s">
        <v>3404</v>
      </c>
      <c r="C1203">
        <v>49</v>
      </c>
      <c r="D1203" t="s">
        <v>1328</v>
      </c>
      <c r="E1203" t="s">
        <v>1498</v>
      </c>
      <c r="F1203" t="s">
        <v>1362</v>
      </c>
      <c r="G1203">
        <v>7287163588</v>
      </c>
    </row>
    <row r="1204" spans="1:7" x14ac:dyDescent="0.3">
      <c r="A1204" t="s">
        <v>591</v>
      </c>
      <c r="B1204" t="s">
        <v>3405</v>
      </c>
      <c r="C1204">
        <v>62</v>
      </c>
      <c r="D1204" t="s">
        <v>1328</v>
      </c>
      <c r="E1204" t="s">
        <v>1383</v>
      </c>
      <c r="F1204" t="s">
        <v>1338</v>
      </c>
      <c r="G1204">
        <v>6502587614</v>
      </c>
    </row>
    <row r="1205" spans="1:7" x14ac:dyDescent="0.3">
      <c r="A1205" t="s">
        <v>3406</v>
      </c>
      <c r="B1205" t="s">
        <v>3407</v>
      </c>
      <c r="C1205">
        <v>51</v>
      </c>
      <c r="D1205" t="s">
        <v>1336</v>
      </c>
      <c r="E1205" t="s">
        <v>1358</v>
      </c>
      <c r="F1205" t="s">
        <v>1356</v>
      </c>
      <c r="G1205">
        <v>8650903522</v>
      </c>
    </row>
    <row r="1206" spans="1:7" x14ac:dyDescent="0.3">
      <c r="A1206" t="s">
        <v>1276</v>
      </c>
      <c r="B1206" t="s">
        <v>3408</v>
      </c>
      <c r="C1206">
        <v>51</v>
      </c>
      <c r="D1206" t="s">
        <v>1336</v>
      </c>
      <c r="E1206" t="s">
        <v>1475</v>
      </c>
      <c r="F1206" t="s">
        <v>1419</v>
      </c>
      <c r="G1206">
        <v>9736482398</v>
      </c>
    </row>
    <row r="1207" spans="1:7" x14ac:dyDescent="0.3">
      <c r="A1207" t="s">
        <v>3409</v>
      </c>
      <c r="B1207" t="s">
        <v>3410</v>
      </c>
      <c r="C1207">
        <v>19</v>
      </c>
      <c r="D1207" t="s">
        <v>1328</v>
      </c>
      <c r="E1207" t="s">
        <v>1425</v>
      </c>
      <c r="F1207" t="s">
        <v>1409</v>
      </c>
      <c r="G1207">
        <v>7456897091</v>
      </c>
    </row>
    <row r="1208" spans="1:7" x14ac:dyDescent="0.3">
      <c r="A1208" t="s">
        <v>3411</v>
      </c>
      <c r="B1208" t="s">
        <v>3412</v>
      </c>
      <c r="C1208">
        <v>23</v>
      </c>
      <c r="D1208" t="s">
        <v>1336</v>
      </c>
      <c r="E1208" t="s">
        <v>1355</v>
      </c>
      <c r="F1208" t="s">
        <v>1356</v>
      </c>
      <c r="G1208">
        <v>6060417589</v>
      </c>
    </row>
    <row r="1209" spans="1:7" x14ac:dyDescent="0.3">
      <c r="A1209" t="s">
        <v>3413</v>
      </c>
      <c r="B1209" t="s">
        <v>3414</v>
      </c>
      <c r="C1209">
        <v>55</v>
      </c>
      <c r="D1209" t="s">
        <v>1328</v>
      </c>
      <c r="E1209" t="s">
        <v>1501</v>
      </c>
      <c r="F1209" t="s">
        <v>1394</v>
      </c>
      <c r="G1209">
        <v>7442149208</v>
      </c>
    </row>
    <row r="1210" spans="1:7" x14ac:dyDescent="0.3">
      <c r="A1210" t="s">
        <v>417</v>
      </c>
      <c r="B1210" t="s">
        <v>3415</v>
      </c>
      <c r="C1210">
        <v>47</v>
      </c>
      <c r="D1210" t="s">
        <v>1336</v>
      </c>
      <c r="E1210" t="s">
        <v>1377</v>
      </c>
      <c r="F1210" t="s">
        <v>1368</v>
      </c>
      <c r="G1210">
        <v>9618222507</v>
      </c>
    </row>
    <row r="1211" spans="1:7" x14ac:dyDescent="0.3">
      <c r="A1211" t="s">
        <v>3416</v>
      </c>
      <c r="B1211" t="s">
        <v>3417</v>
      </c>
      <c r="C1211">
        <v>27</v>
      </c>
      <c r="D1211" t="s">
        <v>1328</v>
      </c>
      <c r="E1211" t="s">
        <v>1845</v>
      </c>
      <c r="F1211" t="s">
        <v>1330</v>
      </c>
      <c r="G1211">
        <v>9180716178</v>
      </c>
    </row>
    <row r="1212" spans="1:7" x14ac:dyDescent="0.3">
      <c r="A1212" t="s">
        <v>3418</v>
      </c>
      <c r="B1212" t="s">
        <v>3419</v>
      </c>
      <c r="C1212">
        <v>19</v>
      </c>
      <c r="D1212" t="s">
        <v>1328</v>
      </c>
      <c r="E1212" t="s">
        <v>1408</v>
      </c>
      <c r="F1212" t="s">
        <v>1409</v>
      </c>
      <c r="G1212">
        <v>8672604385</v>
      </c>
    </row>
    <row r="1213" spans="1:7" x14ac:dyDescent="0.3">
      <c r="A1213" t="s">
        <v>3420</v>
      </c>
      <c r="B1213" t="s">
        <v>3421</v>
      </c>
      <c r="C1213">
        <v>41</v>
      </c>
      <c r="D1213" t="s">
        <v>1328</v>
      </c>
      <c r="E1213" t="s">
        <v>1815</v>
      </c>
      <c r="F1213" t="s">
        <v>1400</v>
      </c>
      <c r="G1213">
        <v>9606501504</v>
      </c>
    </row>
    <row r="1214" spans="1:7" x14ac:dyDescent="0.3">
      <c r="A1214" t="s">
        <v>3422</v>
      </c>
      <c r="B1214" t="s">
        <v>3423</v>
      </c>
      <c r="C1214">
        <v>60</v>
      </c>
      <c r="D1214" t="s">
        <v>1328</v>
      </c>
      <c r="E1214" t="s">
        <v>1602</v>
      </c>
      <c r="F1214" t="s">
        <v>1400</v>
      </c>
      <c r="G1214">
        <v>7236629568</v>
      </c>
    </row>
    <row r="1215" spans="1:7" x14ac:dyDescent="0.3">
      <c r="A1215" t="s">
        <v>1054</v>
      </c>
      <c r="B1215" t="s">
        <v>3424</v>
      </c>
      <c r="C1215">
        <v>55</v>
      </c>
      <c r="D1215" t="s">
        <v>1336</v>
      </c>
      <c r="E1215" t="s">
        <v>1361</v>
      </c>
      <c r="F1215" t="s">
        <v>1362</v>
      </c>
      <c r="G1215">
        <v>8067486609</v>
      </c>
    </row>
    <row r="1216" spans="1:7" x14ac:dyDescent="0.3">
      <c r="A1216" t="s">
        <v>3425</v>
      </c>
      <c r="B1216" t="s">
        <v>3426</v>
      </c>
      <c r="C1216">
        <v>62</v>
      </c>
      <c r="D1216" t="s">
        <v>1336</v>
      </c>
      <c r="E1216" t="s">
        <v>1466</v>
      </c>
      <c r="F1216" t="s">
        <v>1338</v>
      </c>
      <c r="G1216">
        <v>9477971847</v>
      </c>
    </row>
    <row r="1217" spans="1:7" x14ac:dyDescent="0.3">
      <c r="A1217" t="s">
        <v>498</v>
      </c>
      <c r="B1217" t="s">
        <v>3427</v>
      </c>
      <c r="C1217">
        <v>34</v>
      </c>
      <c r="D1217" t="s">
        <v>1328</v>
      </c>
      <c r="E1217" t="s">
        <v>1365</v>
      </c>
      <c r="F1217" t="s">
        <v>1352</v>
      </c>
      <c r="G1217">
        <v>8575474445</v>
      </c>
    </row>
    <row r="1218" spans="1:7" x14ac:dyDescent="0.3">
      <c r="A1218" t="s">
        <v>723</v>
      </c>
      <c r="B1218" t="s">
        <v>3428</v>
      </c>
      <c r="C1218">
        <v>25</v>
      </c>
      <c r="D1218" t="s">
        <v>1336</v>
      </c>
      <c r="E1218" t="s">
        <v>1478</v>
      </c>
      <c r="F1218" t="s">
        <v>1391</v>
      </c>
      <c r="G1218">
        <v>9192206183</v>
      </c>
    </row>
    <row r="1219" spans="1:7" x14ac:dyDescent="0.3">
      <c r="A1219" t="s">
        <v>3429</v>
      </c>
      <c r="B1219" t="s">
        <v>3430</v>
      </c>
      <c r="C1219">
        <v>33</v>
      </c>
      <c r="D1219" t="s">
        <v>1336</v>
      </c>
      <c r="E1219" t="s">
        <v>1413</v>
      </c>
      <c r="F1219" t="s">
        <v>1348</v>
      </c>
      <c r="G1219">
        <v>6255536524</v>
      </c>
    </row>
    <row r="1220" spans="1:7" x14ac:dyDescent="0.3">
      <c r="A1220" t="s">
        <v>3431</v>
      </c>
      <c r="B1220" t="s">
        <v>3432</v>
      </c>
      <c r="C1220">
        <v>45</v>
      </c>
      <c r="D1220" t="s">
        <v>1328</v>
      </c>
      <c r="E1220" t="s">
        <v>1466</v>
      </c>
      <c r="F1220" t="s">
        <v>1338</v>
      </c>
      <c r="G1220">
        <v>6303929574</v>
      </c>
    </row>
    <row r="1221" spans="1:7" x14ac:dyDescent="0.3">
      <c r="A1221" t="s">
        <v>28</v>
      </c>
      <c r="B1221" t="s">
        <v>3433</v>
      </c>
      <c r="C1221">
        <v>55</v>
      </c>
      <c r="D1221" t="s">
        <v>1336</v>
      </c>
      <c r="E1221" t="s">
        <v>1415</v>
      </c>
      <c r="F1221" t="s">
        <v>1348</v>
      </c>
      <c r="G1221">
        <v>7975090442</v>
      </c>
    </row>
    <row r="1222" spans="1:7" x14ac:dyDescent="0.3">
      <c r="A1222" t="s">
        <v>3434</v>
      </c>
      <c r="B1222" t="s">
        <v>3435</v>
      </c>
      <c r="C1222">
        <v>19</v>
      </c>
      <c r="D1222" t="s">
        <v>1336</v>
      </c>
      <c r="E1222" t="s">
        <v>1430</v>
      </c>
      <c r="F1222" t="s">
        <v>1330</v>
      </c>
      <c r="G1222">
        <v>8751758242</v>
      </c>
    </row>
    <row r="1223" spans="1:7" x14ac:dyDescent="0.3">
      <c r="A1223" t="s">
        <v>454</v>
      </c>
      <c r="B1223" t="s">
        <v>3436</v>
      </c>
      <c r="C1223">
        <v>46</v>
      </c>
      <c r="D1223" t="s">
        <v>1336</v>
      </c>
      <c r="E1223" t="s">
        <v>1713</v>
      </c>
      <c r="F1223" t="s">
        <v>1409</v>
      </c>
      <c r="G1223">
        <v>9569836489</v>
      </c>
    </row>
    <row r="1224" spans="1:7" x14ac:dyDescent="0.3">
      <c r="A1224" t="s">
        <v>3437</v>
      </c>
      <c r="B1224" t="s">
        <v>3438</v>
      </c>
      <c r="C1224">
        <v>52</v>
      </c>
      <c r="D1224" t="s">
        <v>1336</v>
      </c>
      <c r="E1224" t="s">
        <v>1377</v>
      </c>
      <c r="F1224" t="s">
        <v>1368</v>
      </c>
      <c r="G1224">
        <v>8515429333</v>
      </c>
    </row>
    <row r="1225" spans="1:7" x14ac:dyDescent="0.3">
      <c r="A1225" t="s">
        <v>3439</v>
      </c>
      <c r="B1225" t="s">
        <v>3440</v>
      </c>
      <c r="C1225">
        <v>47</v>
      </c>
      <c r="D1225" t="s">
        <v>1336</v>
      </c>
      <c r="E1225" t="s">
        <v>1498</v>
      </c>
      <c r="F1225" t="s">
        <v>1362</v>
      </c>
      <c r="G1225">
        <v>7329736742</v>
      </c>
    </row>
    <row r="1226" spans="1:7" x14ac:dyDescent="0.3">
      <c r="A1226" t="s">
        <v>3441</v>
      </c>
      <c r="B1226" t="s">
        <v>3442</v>
      </c>
      <c r="C1226">
        <v>34</v>
      </c>
      <c r="D1226" t="s">
        <v>1328</v>
      </c>
      <c r="E1226" t="s">
        <v>1591</v>
      </c>
      <c r="F1226" t="s">
        <v>1352</v>
      </c>
      <c r="G1226">
        <v>9308363320</v>
      </c>
    </row>
    <row r="1227" spans="1:7" x14ac:dyDescent="0.3">
      <c r="A1227" t="s">
        <v>3443</v>
      </c>
      <c r="B1227" t="s">
        <v>3444</v>
      </c>
      <c r="C1227">
        <v>56</v>
      </c>
      <c r="D1227" t="s">
        <v>1328</v>
      </c>
      <c r="E1227" t="s">
        <v>1345</v>
      </c>
      <c r="F1227" t="s">
        <v>1330</v>
      </c>
      <c r="G1227">
        <v>9334703803</v>
      </c>
    </row>
    <row r="1228" spans="1:7" x14ac:dyDescent="0.3">
      <c r="A1228" t="s">
        <v>924</v>
      </c>
      <c r="B1228" t="s">
        <v>3445</v>
      </c>
      <c r="C1228">
        <v>35</v>
      </c>
      <c r="D1228" t="s">
        <v>1328</v>
      </c>
      <c r="E1228" t="s">
        <v>1345</v>
      </c>
      <c r="F1228" t="s">
        <v>1330</v>
      </c>
      <c r="G1228">
        <v>9196185698</v>
      </c>
    </row>
    <row r="1229" spans="1:7" x14ac:dyDescent="0.3">
      <c r="A1229" t="s">
        <v>127</v>
      </c>
      <c r="B1229" t="s">
        <v>3446</v>
      </c>
      <c r="C1229">
        <v>49</v>
      </c>
      <c r="D1229" t="s">
        <v>1328</v>
      </c>
      <c r="E1229" t="s">
        <v>1383</v>
      </c>
      <c r="F1229" t="s">
        <v>1338</v>
      </c>
      <c r="G1229">
        <v>7023393602</v>
      </c>
    </row>
    <row r="1230" spans="1:7" x14ac:dyDescent="0.3">
      <c r="A1230" t="s">
        <v>3447</v>
      </c>
      <c r="B1230" t="s">
        <v>3448</v>
      </c>
      <c r="C1230">
        <v>39</v>
      </c>
      <c r="D1230" t="s">
        <v>1336</v>
      </c>
      <c r="E1230" t="s">
        <v>1341</v>
      </c>
      <c r="F1230" t="s">
        <v>1342</v>
      </c>
      <c r="G1230">
        <v>8708950299</v>
      </c>
    </row>
    <row r="1231" spans="1:7" x14ac:dyDescent="0.3">
      <c r="A1231" t="s">
        <v>3449</v>
      </c>
      <c r="B1231" t="s">
        <v>3450</v>
      </c>
      <c r="C1231">
        <v>38</v>
      </c>
      <c r="D1231" t="s">
        <v>1328</v>
      </c>
      <c r="E1231" t="s">
        <v>1413</v>
      </c>
      <c r="F1231" t="s">
        <v>1348</v>
      </c>
      <c r="G1231">
        <v>8163606730</v>
      </c>
    </row>
    <row r="1232" spans="1:7" x14ac:dyDescent="0.3">
      <c r="A1232" t="s">
        <v>156</v>
      </c>
      <c r="B1232" t="s">
        <v>3451</v>
      </c>
      <c r="C1232">
        <v>64</v>
      </c>
      <c r="D1232" t="s">
        <v>1336</v>
      </c>
      <c r="E1232" t="s">
        <v>1332</v>
      </c>
      <c r="F1232" t="s">
        <v>1333</v>
      </c>
      <c r="G1232">
        <v>8152693616</v>
      </c>
    </row>
    <row r="1233" spans="1:7" x14ac:dyDescent="0.3">
      <c r="A1233" t="s">
        <v>3452</v>
      </c>
      <c r="B1233" t="s">
        <v>3453</v>
      </c>
      <c r="C1233">
        <v>55</v>
      </c>
      <c r="D1233" t="s">
        <v>1336</v>
      </c>
      <c r="E1233" t="s">
        <v>1383</v>
      </c>
      <c r="F1233" t="s">
        <v>1338</v>
      </c>
      <c r="G1233">
        <v>7951103866</v>
      </c>
    </row>
    <row r="1234" spans="1:7" x14ac:dyDescent="0.3">
      <c r="A1234" t="s">
        <v>3454</v>
      </c>
      <c r="B1234" t="s">
        <v>3455</v>
      </c>
      <c r="C1234">
        <v>64</v>
      </c>
      <c r="D1234" t="s">
        <v>1328</v>
      </c>
      <c r="E1234" t="s">
        <v>1408</v>
      </c>
      <c r="F1234" t="s">
        <v>1409</v>
      </c>
      <c r="G1234">
        <v>6362602113</v>
      </c>
    </row>
    <row r="1235" spans="1:7" x14ac:dyDescent="0.3">
      <c r="A1235" t="s">
        <v>3456</v>
      </c>
      <c r="B1235" t="s">
        <v>3457</v>
      </c>
      <c r="C1235">
        <v>52</v>
      </c>
      <c r="D1235" t="s">
        <v>1328</v>
      </c>
      <c r="E1235" t="s">
        <v>1542</v>
      </c>
      <c r="F1235" t="s">
        <v>1409</v>
      </c>
      <c r="G1235">
        <v>7831793682</v>
      </c>
    </row>
    <row r="1236" spans="1:7" x14ac:dyDescent="0.3">
      <c r="A1236" t="s">
        <v>296</v>
      </c>
      <c r="B1236" t="s">
        <v>3458</v>
      </c>
      <c r="C1236">
        <v>42</v>
      </c>
      <c r="D1236" t="s">
        <v>1328</v>
      </c>
      <c r="E1236" t="s">
        <v>1815</v>
      </c>
      <c r="F1236" t="s">
        <v>1400</v>
      </c>
      <c r="G1236">
        <v>7423102179</v>
      </c>
    </row>
    <row r="1237" spans="1:7" x14ac:dyDescent="0.3">
      <c r="A1237" t="s">
        <v>3459</v>
      </c>
      <c r="B1237" t="s">
        <v>3460</v>
      </c>
      <c r="C1237">
        <v>26</v>
      </c>
      <c r="D1237" t="s">
        <v>1336</v>
      </c>
      <c r="E1237" t="s">
        <v>1386</v>
      </c>
      <c r="F1237" t="s">
        <v>1338</v>
      </c>
      <c r="G1237">
        <v>7251002204</v>
      </c>
    </row>
    <row r="1238" spans="1:7" x14ac:dyDescent="0.3">
      <c r="A1238" t="s">
        <v>399</v>
      </c>
      <c r="B1238" t="s">
        <v>3461</v>
      </c>
      <c r="C1238">
        <v>28</v>
      </c>
      <c r="D1238" t="s">
        <v>1336</v>
      </c>
      <c r="E1238" t="s">
        <v>1355</v>
      </c>
      <c r="F1238" t="s">
        <v>1356</v>
      </c>
      <c r="G1238">
        <v>7608692285</v>
      </c>
    </row>
    <row r="1239" spans="1:7" x14ac:dyDescent="0.3">
      <c r="A1239" t="s">
        <v>3462</v>
      </c>
      <c r="B1239" t="s">
        <v>3463</v>
      </c>
      <c r="C1239">
        <v>41</v>
      </c>
      <c r="D1239" t="s">
        <v>1328</v>
      </c>
      <c r="E1239" t="s">
        <v>1403</v>
      </c>
      <c r="F1239" t="s">
        <v>1362</v>
      </c>
      <c r="G1239">
        <v>8080083315</v>
      </c>
    </row>
    <row r="1240" spans="1:7" x14ac:dyDescent="0.3">
      <c r="A1240" t="s">
        <v>3464</v>
      </c>
      <c r="B1240" t="s">
        <v>3465</v>
      </c>
      <c r="C1240">
        <v>55</v>
      </c>
      <c r="D1240" t="s">
        <v>1336</v>
      </c>
      <c r="E1240" t="s">
        <v>1461</v>
      </c>
      <c r="F1240" t="s">
        <v>1445</v>
      </c>
      <c r="G1240">
        <v>8968991885</v>
      </c>
    </row>
    <row r="1241" spans="1:7" x14ac:dyDescent="0.3">
      <c r="A1241" t="s">
        <v>3466</v>
      </c>
      <c r="B1241" t="s">
        <v>3467</v>
      </c>
      <c r="C1241">
        <v>63</v>
      </c>
      <c r="D1241" t="s">
        <v>1328</v>
      </c>
      <c r="E1241" t="s">
        <v>1556</v>
      </c>
      <c r="F1241" t="s">
        <v>1333</v>
      </c>
      <c r="G1241">
        <v>8446036849</v>
      </c>
    </row>
    <row r="1242" spans="1:7" x14ac:dyDescent="0.3">
      <c r="A1242" t="s">
        <v>3468</v>
      </c>
      <c r="B1242" t="s">
        <v>3469</v>
      </c>
      <c r="C1242">
        <v>21</v>
      </c>
      <c r="D1242" t="s">
        <v>1336</v>
      </c>
      <c r="E1242" t="s">
        <v>1594</v>
      </c>
      <c r="F1242" t="s">
        <v>1445</v>
      </c>
      <c r="G1242">
        <v>9525917783</v>
      </c>
    </row>
    <row r="1243" spans="1:7" x14ac:dyDescent="0.3">
      <c r="A1243" t="s">
        <v>3470</v>
      </c>
      <c r="B1243" t="s">
        <v>3471</v>
      </c>
      <c r="C1243">
        <v>43</v>
      </c>
      <c r="D1243" t="s">
        <v>1336</v>
      </c>
      <c r="E1243" t="s">
        <v>1461</v>
      </c>
      <c r="F1243" t="s">
        <v>1445</v>
      </c>
      <c r="G1243">
        <v>6828581658</v>
      </c>
    </row>
    <row r="1244" spans="1:7" x14ac:dyDescent="0.3">
      <c r="A1244" t="s">
        <v>3472</v>
      </c>
      <c r="B1244" t="s">
        <v>3473</v>
      </c>
      <c r="C1244">
        <v>59</v>
      </c>
      <c r="D1244" t="s">
        <v>1328</v>
      </c>
      <c r="E1244" t="s">
        <v>1668</v>
      </c>
      <c r="F1244" t="s">
        <v>1445</v>
      </c>
      <c r="G1244">
        <v>9191700926</v>
      </c>
    </row>
    <row r="1245" spans="1:7" x14ac:dyDescent="0.3">
      <c r="A1245" t="s">
        <v>3474</v>
      </c>
      <c r="B1245" t="s">
        <v>3475</v>
      </c>
      <c r="C1245">
        <v>60</v>
      </c>
      <c r="D1245" t="s">
        <v>1336</v>
      </c>
      <c r="E1245" t="s">
        <v>1329</v>
      </c>
      <c r="F1245" t="s">
        <v>1330</v>
      </c>
      <c r="G1245">
        <v>6478521707</v>
      </c>
    </row>
    <row r="1246" spans="1:7" x14ac:dyDescent="0.3">
      <c r="A1246" t="s">
        <v>3476</v>
      </c>
      <c r="B1246" t="s">
        <v>3477</v>
      </c>
      <c r="C1246">
        <v>21</v>
      </c>
      <c r="D1246" t="s">
        <v>1328</v>
      </c>
      <c r="E1246" t="s">
        <v>1425</v>
      </c>
      <c r="F1246" t="s">
        <v>1409</v>
      </c>
      <c r="G1246">
        <v>8775226180</v>
      </c>
    </row>
    <row r="1247" spans="1:7" x14ac:dyDescent="0.3">
      <c r="A1247" t="s">
        <v>1164</v>
      </c>
      <c r="B1247" t="s">
        <v>3478</v>
      </c>
      <c r="C1247">
        <v>21</v>
      </c>
      <c r="D1247" t="s">
        <v>1328</v>
      </c>
      <c r="E1247" t="s">
        <v>1422</v>
      </c>
      <c r="F1247" t="s">
        <v>1330</v>
      </c>
      <c r="G1247">
        <v>8690138757</v>
      </c>
    </row>
    <row r="1248" spans="1:7" x14ac:dyDescent="0.3">
      <c r="A1248" t="s">
        <v>719</v>
      </c>
      <c r="B1248" t="s">
        <v>3479</v>
      </c>
      <c r="C1248">
        <v>51</v>
      </c>
      <c r="D1248" t="s">
        <v>1328</v>
      </c>
      <c r="E1248" t="s">
        <v>1381</v>
      </c>
      <c r="F1248" t="s">
        <v>1352</v>
      </c>
      <c r="G1248">
        <v>7695815537</v>
      </c>
    </row>
    <row r="1249" spans="1:7" x14ac:dyDescent="0.3">
      <c r="A1249" t="s">
        <v>1128</v>
      </c>
      <c r="B1249" t="s">
        <v>3480</v>
      </c>
      <c r="C1249">
        <v>44</v>
      </c>
      <c r="D1249" t="s">
        <v>1328</v>
      </c>
      <c r="E1249" t="s">
        <v>1403</v>
      </c>
      <c r="F1249" t="s">
        <v>1362</v>
      </c>
      <c r="G1249">
        <v>6024496868</v>
      </c>
    </row>
    <row r="1250" spans="1:7" x14ac:dyDescent="0.3">
      <c r="A1250" t="s">
        <v>357</v>
      </c>
      <c r="B1250" t="s">
        <v>3481</v>
      </c>
      <c r="C1250">
        <v>21</v>
      </c>
      <c r="D1250" t="s">
        <v>1328</v>
      </c>
      <c r="E1250" t="s">
        <v>1637</v>
      </c>
      <c r="F1250" t="s">
        <v>1368</v>
      </c>
      <c r="G1250">
        <v>7263357144</v>
      </c>
    </row>
    <row r="1251" spans="1:7" x14ac:dyDescent="0.3">
      <c r="A1251" t="s">
        <v>3482</v>
      </c>
      <c r="B1251" t="s">
        <v>3483</v>
      </c>
      <c r="C1251">
        <v>55</v>
      </c>
      <c r="D1251" t="s">
        <v>1328</v>
      </c>
      <c r="E1251" t="s">
        <v>1542</v>
      </c>
      <c r="F1251" t="s">
        <v>1409</v>
      </c>
      <c r="G1251">
        <v>7935322676</v>
      </c>
    </row>
    <row r="1252" spans="1:7" x14ac:dyDescent="0.3">
      <c r="A1252" t="s">
        <v>3484</v>
      </c>
      <c r="B1252" t="s">
        <v>3485</v>
      </c>
      <c r="C1252">
        <v>49</v>
      </c>
      <c r="D1252" t="s">
        <v>1336</v>
      </c>
      <c r="E1252" t="s">
        <v>1413</v>
      </c>
      <c r="F1252" t="s">
        <v>1348</v>
      </c>
      <c r="G1252">
        <v>7323499319</v>
      </c>
    </row>
    <row r="1253" spans="1:7" x14ac:dyDescent="0.3">
      <c r="A1253" t="s">
        <v>3486</v>
      </c>
      <c r="B1253" t="s">
        <v>3487</v>
      </c>
      <c r="C1253">
        <v>21</v>
      </c>
      <c r="D1253" t="s">
        <v>1336</v>
      </c>
      <c r="E1253" t="s">
        <v>1451</v>
      </c>
      <c r="F1253" t="s">
        <v>1445</v>
      </c>
      <c r="G1253">
        <v>6096297559</v>
      </c>
    </row>
    <row r="1254" spans="1:7" x14ac:dyDescent="0.3">
      <c r="A1254" t="s">
        <v>3488</v>
      </c>
      <c r="B1254" t="s">
        <v>3489</v>
      </c>
      <c r="C1254">
        <v>37</v>
      </c>
      <c r="D1254" t="s">
        <v>1336</v>
      </c>
      <c r="E1254" t="s">
        <v>1602</v>
      </c>
      <c r="F1254" t="s">
        <v>1400</v>
      </c>
      <c r="G1254">
        <v>6073280108</v>
      </c>
    </row>
    <row r="1255" spans="1:7" x14ac:dyDescent="0.3">
      <c r="A1255" t="s">
        <v>1120</v>
      </c>
      <c r="B1255" t="s">
        <v>3490</v>
      </c>
      <c r="C1255">
        <v>33</v>
      </c>
      <c r="D1255" t="s">
        <v>1336</v>
      </c>
      <c r="E1255" t="s">
        <v>1498</v>
      </c>
      <c r="F1255" t="s">
        <v>1362</v>
      </c>
      <c r="G1255">
        <v>7990572391</v>
      </c>
    </row>
    <row r="1256" spans="1:7" x14ac:dyDescent="0.3">
      <c r="A1256" t="s">
        <v>3491</v>
      </c>
      <c r="B1256" t="s">
        <v>3492</v>
      </c>
      <c r="C1256">
        <v>63</v>
      </c>
      <c r="D1256" t="s">
        <v>1336</v>
      </c>
      <c r="E1256" t="s">
        <v>1591</v>
      </c>
      <c r="F1256" t="s">
        <v>1352</v>
      </c>
      <c r="G1256">
        <v>9000733102</v>
      </c>
    </row>
    <row r="1257" spans="1:7" x14ac:dyDescent="0.3">
      <c r="A1257" t="s">
        <v>532</v>
      </c>
      <c r="B1257" t="s">
        <v>3493</v>
      </c>
      <c r="C1257">
        <v>54</v>
      </c>
      <c r="D1257" t="s">
        <v>1328</v>
      </c>
      <c r="E1257" t="s">
        <v>1337</v>
      </c>
      <c r="F1257" t="s">
        <v>1338</v>
      </c>
      <c r="G1257">
        <v>9365593972</v>
      </c>
    </row>
    <row r="1258" spans="1:7" x14ac:dyDescent="0.3">
      <c r="A1258" t="s">
        <v>3494</v>
      </c>
      <c r="B1258" t="s">
        <v>3495</v>
      </c>
      <c r="C1258">
        <v>49</v>
      </c>
      <c r="D1258" t="s">
        <v>1328</v>
      </c>
      <c r="E1258" t="s">
        <v>1463</v>
      </c>
      <c r="F1258" t="s">
        <v>1391</v>
      </c>
      <c r="G1258">
        <v>7097985257</v>
      </c>
    </row>
    <row r="1259" spans="1:7" x14ac:dyDescent="0.3">
      <c r="A1259" t="s">
        <v>3496</v>
      </c>
      <c r="B1259" t="s">
        <v>3497</v>
      </c>
      <c r="C1259">
        <v>40</v>
      </c>
      <c r="D1259" t="s">
        <v>1328</v>
      </c>
      <c r="E1259" t="s">
        <v>1415</v>
      </c>
      <c r="F1259" t="s">
        <v>1348</v>
      </c>
      <c r="G1259">
        <v>7917149440</v>
      </c>
    </row>
    <row r="1260" spans="1:7" x14ac:dyDescent="0.3">
      <c r="A1260" t="s">
        <v>3498</v>
      </c>
      <c r="B1260" t="s">
        <v>3499</v>
      </c>
      <c r="C1260">
        <v>55</v>
      </c>
      <c r="D1260" t="s">
        <v>1336</v>
      </c>
      <c r="E1260" t="s">
        <v>1381</v>
      </c>
      <c r="F1260" t="s">
        <v>1352</v>
      </c>
      <c r="G1260">
        <v>6298006829</v>
      </c>
    </row>
    <row r="1261" spans="1:7" x14ac:dyDescent="0.3">
      <c r="A1261" t="s">
        <v>3500</v>
      </c>
      <c r="B1261" t="s">
        <v>3501</v>
      </c>
      <c r="C1261">
        <v>44</v>
      </c>
      <c r="D1261" t="s">
        <v>1328</v>
      </c>
      <c r="E1261" t="s">
        <v>1713</v>
      </c>
      <c r="F1261" t="s">
        <v>1409</v>
      </c>
      <c r="G1261">
        <v>8651042205</v>
      </c>
    </row>
    <row r="1262" spans="1:7" x14ac:dyDescent="0.3">
      <c r="A1262" t="s">
        <v>3502</v>
      </c>
      <c r="B1262" t="s">
        <v>3503</v>
      </c>
      <c r="C1262">
        <v>21</v>
      </c>
      <c r="D1262" t="s">
        <v>1328</v>
      </c>
      <c r="E1262" t="s">
        <v>1463</v>
      </c>
      <c r="F1262" t="s">
        <v>1391</v>
      </c>
      <c r="G1262">
        <v>9531398603</v>
      </c>
    </row>
    <row r="1263" spans="1:7" x14ac:dyDescent="0.3">
      <c r="A1263" t="s">
        <v>566</v>
      </c>
      <c r="B1263" t="s">
        <v>3504</v>
      </c>
      <c r="C1263">
        <v>25</v>
      </c>
      <c r="D1263" t="s">
        <v>1336</v>
      </c>
      <c r="E1263" t="s">
        <v>1355</v>
      </c>
      <c r="F1263" t="s">
        <v>1356</v>
      </c>
      <c r="G1263">
        <v>8684910081</v>
      </c>
    </row>
    <row r="1264" spans="1:7" x14ac:dyDescent="0.3">
      <c r="A1264" t="s">
        <v>154</v>
      </c>
      <c r="B1264" t="s">
        <v>3505</v>
      </c>
      <c r="C1264">
        <v>55</v>
      </c>
      <c r="D1264" t="s">
        <v>1328</v>
      </c>
      <c r="E1264" t="s">
        <v>1351</v>
      </c>
      <c r="F1264" t="s">
        <v>1352</v>
      </c>
      <c r="G1264">
        <v>6937532405</v>
      </c>
    </row>
    <row r="1265" spans="1:7" x14ac:dyDescent="0.3">
      <c r="A1265" t="s">
        <v>777</v>
      </c>
      <c r="B1265" t="s">
        <v>3506</v>
      </c>
      <c r="C1265">
        <v>48</v>
      </c>
      <c r="D1265" t="s">
        <v>1328</v>
      </c>
      <c r="E1265" t="s">
        <v>1556</v>
      </c>
      <c r="F1265" t="s">
        <v>1333</v>
      </c>
      <c r="G1265">
        <v>9815934197</v>
      </c>
    </row>
    <row r="1266" spans="1:7" x14ac:dyDescent="0.3">
      <c r="A1266" t="s">
        <v>184</v>
      </c>
      <c r="B1266" t="s">
        <v>3507</v>
      </c>
      <c r="C1266">
        <v>26</v>
      </c>
      <c r="D1266" t="s">
        <v>1328</v>
      </c>
      <c r="E1266" t="s">
        <v>1668</v>
      </c>
      <c r="F1266" t="s">
        <v>1445</v>
      </c>
      <c r="G1266">
        <v>9240545794</v>
      </c>
    </row>
    <row r="1267" spans="1:7" x14ac:dyDescent="0.3">
      <c r="A1267" t="s">
        <v>1272</v>
      </c>
      <c r="B1267" t="s">
        <v>3508</v>
      </c>
      <c r="C1267">
        <v>49</v>
      </c>
      <c r="D1267" t="s">
        <v>1328</v>
      </c>
      <c r="E1267" t="s">
        <v>1483</v>
      </c>
      <c r="F1267" t="s">
        <v>1368</v>
      </c>
      <c r="G1267">
        <v>7689861764</v>
      </c>
    </row>
    <row r="1268" spans="1:7" x14ac:dyDescent="0.3">
      <c r="A1268" t="s">
        <v>3509</v>
      </c>
      <c r="B1268" t="s">
        <v>3510</v>
      </c>
      <c r="C1268">
        <v>24</v>
      </c>
      <c r="D1268" t="s">
        <v>1336</v>
      </c>
      <c r="E1268" t="s">
        <v>1397</v>
      </c>
      <c r="F1268" t="s">
        <v>1333</v>
      </c>
      <c r="G1268">
        <v>8437825013</v>
      </c>
    </row>
    <row r="1269" spans="1:7" x14ac:dyDescent="0.3">
      <c r="A1269" t="s">
        <v>3511</v>
      </c>
      <c r="B1269" t="s">
        <v>3512</v>
      </c>
      <c r="C1269">
        <v>58</v>
      </c>
      <c r="D1269" t="s">
        <v>1328</v>
      </c>
      <c r="E1269" t="s">
        <v>1444</v>
      </c>
      <c r="F1269" t="s">
        <v>1445</v>
      </c>
      <c r="G1269">
        <v>7951914066</v>
      </c>
    </row>
    <row r="1270" spans="1:7" x14ac:dyDescent="0.3">
      <c r="A1270" t="s">
        <v>831</v>
      </c>
      <c r="B1270" t="s">
        <v>3513</v>
      </c>
      <c r="C1270">
        <v>26</v>
      </c>
      <c r="D1270" t="s">
        <v>1336</v>
      </c>
      <c r="E1270" t="s">
        <v>1399</v>
      </c>
      <c r="F1270" t="s">
        <v>1400</v>
      </c>
      <c r="G1270">
        <v>7701256615</v>
      </c>
    </row>
    <row r="1271" spans="1:7" x14ac:dyDescent="0.3">
      <c r="A1271" t="s">
        <v>3514</v>
      </c>
      <c r="B1271" t="s">
        <v>3515</v>
      </c>
      <c r="C1271">
        <v>57</v>
      </c>
      <c r="D1271" t="s">
        <v>1328</v>
      </c>
      <c r="E1271" t="s">
        <v>1747</v>
      </c>
      <c r="F1271" t="s">
        <v>1391</v>
      </c>
      <c r="G1271">
        <v>7897791857</v>
      </c>
    </row>
    <row r="1272" spans="1:7" x14ac:dyDescent="0.3">
      <c r="A1272" t="s">
        <v>3516</v>
      </c>
      <c r="B1272" t="s">
        <v>3517</v>
      </c>
      <c r="C1272">
        <v>20</v>
      </c>
      <c r="D1272" t="s">
        <v>1336</v>
      </c>
      <c r="E1272" t="s">
        <v>1355</v>
      </c>
      <c r="F1272" t="s">
        <v>1356</v>
      </c>
      <c r="G1272">
        <v>8785793423</v>
      </c>
    </row>
    <row r="1273" spans="1:7" x14ac:dyDescent="0.3">
      <c r="A1273" t="s">
        <v>3518</v>
      </c>
      <c r="B1273" t="s">
        <v>3519</v>
      </c>
      <c r="C1273">
        <v>38</v>
      </c>
      <c r="D1273" t="s">
        <v>1336</v>
      </c>
      <c r="E1273" t="s">
        <v>1568</v>
      </c>
      <c r="F1273" t="s">
        <v>1445</v>
      </c>
      <c r="G1273">
        <v>8650917168</v>
      </c>
    </row>
    <row r="1274" spans="1:7" x14ac:dyDescent="0.3">
      <c r="A1274" t="s">
        <v>3520</v>
      </c>
      <c r="B1274" t="s">
        <v>3521</v>
      </c>
      <c r="C1274">
        <v>60</v>
      </c>
      <c r="D1274" t="s">
        <v>1328</v>
      </c>
      <c r="E1274" t="s">
        <v>1747</v>
      </c>
      <c r="F1274" t="s">
        <v>1391</v>
      </c>
      <c r="G1274">
        <v>9536329142</v>
      </c>
    </row>
    <row r="1275" spans="1:7" x14ac:dyDescent="0.3">
      <c r="A1275" t="s">
        <v>3522</v>
      </c>
      <c r="B1275" t="s">
        <v>3523</v>
      </c>
      <c r="C1275">
        <v>30</v>
      </c>
      <c r="D1275" t="s">
        <v>1336</v>
      </c>
      <c r="E1275" t="s">
        <v>1388</v>
      </c>
      <c r="F1275" t="s">
        <v>1342</v>
      </c>
      <c r="G1275">
        <v>8665775073</v>
      </c>
    </row>
    <row r="1276" spans="1:7" x14ac:dyDescent="0.3">
      <c r="A1276" t="s">
        <v>3524</v>
      </c>
      <c r="B1276" t="s">
        <v>3525</v>
      </c>
      <c r="C1276">
        <v>46</v>
      </c>
      <c r="D1276" t="s">
        <v>1328</v>
      </c>
      <c r="E1276" t="s">
        <v>1556</v>
      </c>
      <c r="F1276" t="s">
        <v>1333</v>
      </c>
      <c r="G1276">
        <v>7529610949</v>
      </c>
    </row>
    <row r="1277" spans="1:7" x14ac:dyDescent="0.3">
      <c r="A1277" t="s">
        <v>3526</v>
      </c>
      <c r="B1277" t="s">
        <v>3527</v>
      </c>
      <c r="C1277">
        <v>33</v>
      </c>
      <c r="D1277" t="s">
        <v>1336</v>
      </c>
      <c r="E1277" t="s">
        <v>1329</v>
      </c>
      <c r="F1277" t="s">
        <v>1330</v>
      </c>
      <c r="G1277">
        <v>6820245395</v>
      </c>
    </row>
    <row r="1278" spans="1:7" x14ac:dyDescent="0.3">
      <c r="A1278" t="s">
        <v>3528</v>
      </c>
      <c r="B1278" t="s">
        <v>3529</v>
      </c>
      <c r="C1278">
        <v>48</v>
      </c>
      <c r="D1278" t="s">
        <v>1336</v>
      </c>
      <c r="E1278" t="s">
        <v>1377</v>
      </c>
      <c r="F1278" t="s">
        <v>1368</v>
      </c>
      <c r="G1278">
        <v>6696603763</v>
      </c>
    </row>
    <row r="1279" spans="1:7" x14ac:dyDescent="0.3">
      <c r="A1279" t="s">
        <v>3530</v>
      </c>
      <c r="B1279" t="s">
        <v>3531</v>
      </c>
      <c r="C1279">
        <v>35</v>
      </c>
      <c r="D1279" t="s">
        <v>1336</v>
      </c>
      <c r="E1279" t="s">
        <v>1367</v>
      </c>
      <c r="F1279" t="s">
        <v>1368</v>
      </c>
      <c r="G1279">
        <v>6243713876</v>
      </c>
    </row>
    <row r="1280" spans="1:7" x14ac:dyDescent="0.3">
      <c r="A1280" t="s">
        <v>3532</v>
      </c>
      <c r="B1280" t="s">
        <v>3533</v>
      </c>
      <c r="C1280">
        <v>64</v>
      </c>
      <c r="D1280" t="s">
        <v>1336</v>
      </c>
      <c r="E1280" t="s">
        <v>1456</v>
      </c>
      <c r="F1280" t="s">
        <v>1394</v>
      </c>
      <c r="G1280">
        <v>8873775822</v>
      </c>
    </row>
    <row r="1281" spans="1:7" x14ac:dyDescent="0.3">
      <c r="A1281" t="s">
        <v>3534</v>
      </c>
      <c r="B1281" t="s">
        <v>3535</v>
      </c>
      <c r="C1281">
        <v>21</v>
      </c>
      <c r="D1281" t="s">
        <v>1336</v>
      </c>
      <c r="E1281" t="s">
        <v>1511</v>
      </c>
      <c r="F1281" t="s">
        <v>1419</v>
      </c>
      <c r="G1281">
        <v>7475718973</v>
      </c>
    </row>
    <row r="1282" spans="1:7" x14ac:dyDescent="0.3">
      <c r="A1282" t="s">
        <v>3536</v>
      </c>
      <c r="B1282" t="s">
        <v>3537</v>
      </c>
      <c r="C1282">
        <v>55</v>
      </c>
      <c r="D1282" t="s">
        <v>1336</v>
      </c>
      <c r="E1282" t="s">
        <v>1413</v>
      </c>
      <c r="F1282" t="s">
        <v>1348</v>
      </c>
      <c r="G1282">
        <v>8114331956</v>
      </c>
    </row>
    <row r="1283" spans="1:7" x14ac:dyDescent="0.3">
      <c r="A1283" t="s">
        <v>3538</v>
      </c>
      <c r="B1283" t="s">
        <v>3539</v>
      </c>
      <c r="C1283">
        <v>39</v>
      </c>
      <c r="D1283" t="s">
        <v>1328</v>
      </c>
      <c r="E1283" t="s">
        <v>1383</v>
      </c>
      <c r="F1283" t="s">
        <v>1338</v>
      </c>
      <c r="G1283">
        <v>7943287771</v>
      </c>
    </row>
    <row r="1284" spans="1:7" x14ac:dyDescent="0.3">
      <c r="A1284" t="s">
        <v>3540</v>
      </c>
      <c r="B1284" t="s">
        <v>3541</v>
      </c>
      <c r="C1284">
        <v>56</v>
      </c>
      <c r="D1284" t="s">
        <v>1328</v>
      </c>
      <c r="E1284" t="s">
        <v>1365</v>
      </c>
      <c r="F1284" t="s">
        <v>1352</v>
      </c>
      <c r="G1284">
        <v>8287874436</v>
      </c>
    </row>
    <row r="1285" spans="1:7" x14ac:dyDescent="0.3">
      <c r="A1285" t="s">
        <v>3542</v>
      </c>
      <c r="B1285" t="s">
        <v>3543</v>
      </c>
      <c r="C1285">
        <v>60</v>
      </c>
      <c r="D1285" t="s">
        <v>1328</v>
      </c>
      <c r="E1285" t="s">
        <v>1594</v>
      </c>
      <c r="F1285" t="s">
        <v>1445</v>
      </c>
      <c r="G1285">
        <v>9020584403</v>
      </c>
    </row>
    <row r="1286" spans="1:7" x14ac:dyDescent="0.3">
      <c r="A1286" t="s">
        <v>3544</v>
      </c>
      <c r="B1286" t="s">
        <v>3545</v>
      </c>
      <c r="C1286">
        <v>20</v>
      </c>
      <c r="D1286" t="s">
        <v>1336</v>
      </c>
      <c r="E1286" t="s">
        <v>1425</v>
      </c>
      <c r="F1286" t="s">
        <v>1409</v>
      </c>
      <c r="G1286">
        <v>8602870858</v>
      </c>
    </row>
    <row r="1287" spans="1:7" x14ac:dyDescent="0.3">
      <c r="A1287" t="s">
        <v>3546</v>
      </c>
      <c r="B1287" t="s">
        <v>3547</v>
      </c>
      <c r="C1287">
        <v>53</v>
      </c>
      <c r="D1287" t="s">
        <v>1328</v>
      </c>
      <c r="E1287" t="s">
        <v>1563</v>
      </c>
      <c r="F1287" t="s">
        <v>1356</v>
      </c>
      <c r="G1287">
        <v>7153586174</v>
      </c>
    </row>
    <row r="1288" spans="1:7" x14ac:dyDescent="0.3">
      <c r="A1288" t="s">
        <v>847</v>
      </c>
      <c r="B1288" t="s">
        <v>3548</v>
      </c>
      <c r="C1288">
        <v>56</v>
      </c>
      <c r="D1288" t="s">
        <v>1328</v>
      </c>
      <c r="E1288" t="s">
        <v>1430</v>
      </c>
      <c r="F1288" t="s">
        <v>1330</v>
      </c>
      <c r="G1288">
        <v>9586027693</v>
      </c>
    </row>
    <row r="1289" spans="1:7" x14ac:dyDescent="0.3">
      <c r="A1289" t="s">
        <v>1190</v>
      </c>
      <c r="B1289" t="s">
        <v>3549</v>
      </c>
      <c r="C1289">
        <v>53</v>
      </c>
      <c r="D1289" t="s">
        <v>1328</v>
      </c>
      <c r="E1289" t="s">
        <v>1770</v>
      </c>
      <c r="F1289" t="s">
        <v>1400</v>
      </c>
      <c r="G1289">
        <v>9053146509</v>
      </c>
    </row>
    <row r="1290" spans="1:7" x14ac:dyDescent="0.3">
      <c r="A1290" t="s">
        <v>3550</v>
      </c>
      <c r="B1290" t="s">
        <v>3551</v>
      </c>
      <c r="C1290">
        <v>49</v>
      </c>
      <c r="D1290" t="s">
        <v>1336</v>
      </c>
      <c r="E1290" t="s">
        <v>1832</v>
      </c>
      <c r="F1290" t="s">
        <v>1368</v>
      </c>
      <c r="G1290">
        <v>7256715193</v>
      </c>
    </row>
    <row r="1291" spans="1:7" x14ac:dyDescent="0.3">
      <c r="A1291" t="s">
        <v>3552</v>
      </c>
      <c r="B1291" t="s">
        <v>3553</v>
      </c>
      <c r="C1291">
        <v>58</v>
      </c>
      <c r="D1291" t="s">
        <v>1328</v>
      </c>
      <c r="E1291" t="s">
        <v>1441</v>
      </c>
      <c r="F1291" t="s">
        <v>1394</v>
      </c>
      <c r="G1291">
        <v>6546755886</v>
      </c>
    </row>
    <row r="1292" spans="1:7" x14ac:dyDescent="0.3">
      <c r="A1292" t="s">
        <v>3554</v>
      </c>
      <c r="B1292" t="s">
        <v>3555</v>
      </c>
      <c r="C1292">
        <v>65</v>
      </c>
      <c r="D1292" t="s">
        <v>1328</v>
      </c>
      <c r="E1292" t="s">
        <v>1399</v>
      </c>
      <c r="F1292" t="s">
        <v>1400</v>
      </c>
      <c r="G1292">
        <v>9884131558</v>
      </c>
    </row>
    <row r="1293" spans="1:7" x14ac:dyDescent="0.3">
      <c r="A1293" t="s">
        <v>622</v>
      </c>
      <c r="B1293" t="s">
        <v>3556</v>
      </c>
      <c r="C1293">
        <v>64</v>
      </c>
      <c r="D1293" t="s">
        <v>1336</v>
      </c>
      <c r="E1293" t="s">
        <v>1456</v>
      </c>
      <c r="F1293" t="s">
        <v>1394</v>
      </c>
      <c r="G1293">
        <v>7357831516</v>
      </c>
    </row>
    <row r="1294" spans="1:7" x14ac:dyDescent="0.3">
      <c r="A1294" t="s">
        <v>986</v>
      </c>
      <c r="B1294" t="s">
        <v>3557</v>
      </c>
      <c r="C1294">
        <v>20</v>
      </c>
      <c r="D1294" t="s">
        <v>1336</v>
      </c>
      <c r="E1294" t="s">
        <v>1432</v>
      </c>
      <c r="F1294" t="s">
        <v>1342</v>
      </c>
      <c r="G1294">
        <v>7362520409</v>
      </c>
    </row>
    <row r="1295" spans="1:7" x14ac:dyDescent="0.3">
      <c r="A1295" t="s">
        <v>962</v>
      </c>
      <c r="B1295" t="s">
        <v>3558</v>
      </c>
      <c r="C1295">
        <v>29</v>
      </c>
      <c r="D1295" t="s">
        <v>1328</v>
      </c>
      <c r="E1295" t="s">
        <v>1411</v>
      </c>
      <c r="F1295" t="s">
        <v>1356</v>
      </c>
      <c r="G1295">
        <v>9530180303</v>
      </c>
    </row>
    <row r="1296" spans="1:7" x14ac:dyDescent="0.3">
      <c r="A1296" t="s">
        <v>140</v>
      </c>
      <c r="B1296" t="s">
        <v>3559</v>
      </c>
      <c r="C1296">
        <v>44</v>
      </c>
      <c r="D1296" t="s">
        <v>1336</v>
      </c>
      <c r="E1296" t="s">
        <v>1425</v>
      </c>
      <c r="F1296" t="s">
        <v>1409</v>
      </c>
      <c r="G1296">
        <v>9278993173</v>
      </c>
    </row>
    <row r="1297" spans="1:7" x14ac:dyDescent="0.3">
      <c r="A1297" t="s">
        <v>3560</v>
      </c>
      <c r="B1297" t="s">
        <v>3561</v>
      </c>
      <c r="C1297">
        <v>37</v>
      </c>
      <c r="D1297" t="s">
        <v>1328</v>
      </c>
      <c r="E1297" t="s">
        <v>1425</v>
      </c>
      <c r="F1297" t="s">
        <v>1409</v>
      </c>
      <c r="G1297">
        <v>8290061760</v>
      </c>
    </row>
    <row r="1298" spans="1:7" x14ac:dyDescent="0.3">
      <c r="A1298" t="s">
        <v>321</v>
      </c>
      <c r="B1298" t="s">
        <v>3562</v>
      </c>
      <c r="C1298">
        <v>26</v>
      </c>
      <c r="D1298" t="s">
        <v>1328</v>
      </c>
      <c r="E1298" t="s">
        <v>1438</v>
      </c>
      <c r="F1298" t="s">
        <v>1419</v>
      </c>
      <c r="G1298">
        <v>8332373820</v>
      </c>
    </row>
    <row r="1299" spans="1:7" x14ac:dyDescent="0.3">
      <c r="A1299" t="s">
        <v>547</v>
      </c>
      <c r="B1299" t="s">
        <v>3563</v>
      </c>
      <c r="C1299">
        <v>25</v>
      </c>
      <c r="D1299" t="s">
        <v>1336</v>
      </c>
      <c r="E1299" t="s">
        <v>1478</v>
      </c>
      <c r="F1299" t="s">
        <v>1391</v>
      </c>
      <c r="G1299">
        <v>6129535400</v>
      </c>
    </row>
    <row r="1300" spans="1:7" x14ac:dyDescent="0.3">
      <c r="A1300" t="s">
        <v>3564</v>
      </c>
      <c r="B1300" t="s">
        <v>3565</v>
      </c>
      <c r="C1300">
        <v>56</v>
      </c>
      <c r="D1300" t="s">
        <v>1328</v>
      </c>
      <c r="E1300" t="s">
        <v>1358</v>
      </c>
      <c r="F1300" t="s">
        <v>1356</v>
      </c>
      <c r="G1300">
        <v>6401829994</v>
      </c>
    </row>
    <row r="1301" spans="1:7" x14ac:dyDescent="0.3">
      <c r="A1301" t="s">
        <v>3566</v>
      </c>
      <c r="B1301" t="s">
        <v>3567</v>
      </c>
      <c r="C1301">
        <v>52</v>
      </c>
      <c r="D1301" t="s">
        <v>1328</v>
      </c>
      <c r="E1301" t="s">
        <v>1501</v>
      </c>
      <c r="F1301" t="s">
        <v>1394</v>
      </c>
      <c r="G1301">
        <v>8894172514</v>
      </c>
    </row>
    <row r="1302" spans="1:7" x14ac:dyDescent="0.3">
      <c r="A1302" t="s">
        <v>3568</v>
      </c>
      <c r="B1302" t="s">
        <v>3569</v>
      </c>
      <c r="C1302">
        <v>30</v>
      </c>
      <c r="D1302" t="s">
        <v>1336</v>
      </c>
      <c r="E1302" t="s">
        <v>1770</v>
      </c>
      <c r="F1302" t="s">
        <v>1400</v>
      </c>
      <c r="G1302">
        <v>9362140106</v>
      </c>
    </row>
    <row r="1303" spans="1:7" x14ac:dyDescent="0.3">
      <c r="A1303" t="s">
        <v>3570</v>
      </c>
      <c r="B1303" t="s">
        <v>3571</v>
      </c>
      <c r="C1303">
        <v>64</v>
      </c>
      <c r="D1303" t="s">
        <v>1336</v>
      </c>
      <c r="E1303" t="s">
        <v>1498</v>
      </c>
      <c r="F1303" t="s">
        <v>1362</v>
      </c>
      <c r="G1303">
        <v>7868320612</v>
      </c>
    </row>
    <row r="1304" spans="1:7" x14ac:dyDescent="0.3">
      <c r="A1304" t="s">
        <v>3572</v>
      </c>
      <c r="B1304" t="s">
        <v>3573</v>
      </c>
      <c r="C1304">
        <v>24</v>
      </c>
      <c r="D1304" t="s">
        <v>1328</v>
      </c>
      <c r="E1304" t="s">
        <v>1432</v>
      </c>
      <c r="F1304" t="s">
        <v>1342</v>
      </c>
      <c r="G1304">
        <v>8607632367</v>
      </c>
    </row>
    <row r="1305" spans="1:7" x14ac:dyDescent="0.3">
      <c r="A1305" t="s">
        <v>3574</v>
      </c>
      <c r="B1305" t="s">
        <v>3575</v>
      </c>
      <c r="C1305">
        <v>30</v>
      </c>
      <c r="D1305" t="s">
        <v>1328</v>
      </c>
      <c r="E1305" t="s">
        <v>1361</v>
      </c>
      <c r="F1305" t="s">
        <v>1362</v>
      </c>
      <c r="G1305">
        <v>8138275699</v>
      </c>
    </row>
    <row r="1306" spans="1:7" x14ac:dyDescent="0.3">
      <c r="A1306" t="s">
        <v>3576</v>
      </c>
      <c r="B1306" t="s">
        <v>3577</v>
      </c>
      <c r="C1306">
        <v>55</v>
      </c>
      <c r="D1306" t="s">
        <v>1336</v>
      </c>
      <c r="E1306" t="s">
        <v>1425</v>
      </c>
      <c r="F1306" t="s">
        <v>1409</v>
      </c>
      <c r="G1306">
        <v>6417511687</v>
      </c>
    </row>
    <row r="1307" spans="1:7" x14ac:dyDescent="0.3">
      <c r="A1307" t="s">
        <v>1226</v>
      </c>
      <c r="B1307" t="s">
        <v>3578</v>
      </c>
      <c r="C1307">
        <v>43</v>
      </c>
      <c r="D1307" t="s">
        <v>1336</v>
      </c>
      <c r="E1307" t="s">
        <v>1504</v>
      </c>
      <c r="F1307" t="s">
        <v>1394</v>
      </c>
      <c r="G1307">
        <v>9622606978</v>
      </c>
    </row>
    <row r="1308" spans="1:7" x14ac:dyDescent="0.3">
      <c r="A1308" t="s">
        <v>3579</v>
      </c>
      <c r="B1308" t="s">
        <v>3580</v>
      </c>
      <c r="C1308">
        <v>20</v>
      </c>
      <c r="D1308" t="s">
        <v>1328</v>
      </c>
      <c r="E1308" t="s">
        <v>1399</v>
      </c>
      <c r="F1308" t="s">
        <v>1400</v>
      </c>
      <c r="G1308">
        <v>7168380763</v>
      </c>
    </row>
    <row r="1309" spans="1:7" x14ac:dyDescent="0.3">
      <c r="A1309" t="s">
        <v>3581</v>
      </c>
      <c r="B1309" t="s">
        <v>3582</v>
      </c>
      <c r="C1309">
        <v>36</v>
      </c>
      <c r="D1309" t="s">
        <v>1336</v>
      </c>
      <c r="E1309" t="s">
        <v>1355</v>
      </c>
      <c r="F1309" t="s">
        <v>1356</v>
      </c>
      <c r="G1309">
        <v>7507671519</v>
      </c>
    </row>
    <row r="1310" spans="1:7" x14ac:dyDescent="0.3">
      <c r="A1310" t="s">
        <v>3583</v>
      </c>
      <c r="B1310" t="s">
        <v>3584</v>
      </c>
      <c r="C1310">
        <v>63</v>
      </c>
      <c r="D1310" t="s">
        <v>1328</v>
      </c>
      <c r="E1310" t="s">
        <v>1397</v>
      </c>
      <c r="F1310" t="s">
        <v>1333</v>
      </c>
      <c r="G1310">
        <v>6354363653</v>
      </c>
    </row>
    <row r="1311" spans="1:7" x14ac:dyDescent="0.3">
      <c r="A1311" t="s">
        <v>3585</v>
      </c>
      <c r="B1311" t="s">
        <v>3586</v>
      </c>
      <c r="C1311">
        <v>33</v>
      </c>
      <c r="D1311" t="s">
        <v>1336</v>
      </c>
      <c r="E1311" t="s">
        <v>1329</v>
      </c>
      <c r="F1311" t="s">
        <v>1330</v>
      </c>
      <c r="G1311">
        <v>6708285429</v>
      </c>
    </row>
    <row r="1312" spans="1:7" x14ac:dyDescent="0.3">
      <c r="A1312" t="s">
        <v>283</v>
      </c>
      <c r="B1312" t="s">
        <v>3587</v>
      </c>
      <c r="C1312">
        <v>25</v>
      </c>
      <c r="D1312" t="s">
        <v>1328</v>
      </c>
      <c r="E1312" t="s">
        <v>1355</v>
      </c>
      <c r="F1312" t="s">
        <v>1356</v>
      </c>
      <c r="G1312">
        <v>6634599616</v>
      </c>
    </row>
    <row r="1313" spans="1:7" x14ac:dyDescent="0.3">
      <c r="A1313" t="s">
        <v>3588</v>
      </c>
      <c r="B1313" t="s">
        <v>3589</v>
      </c>
      <c r="C1313">
        <v>55</v>
      </c>
      <c r="D1313" t="s">
        <v>1336</v>
      </c>
      <c r="E1313" t="s">
        <v>1411</v>
      </c>
      <c r="F1313" t="s">
        <v>1356</v>
      </c>
      <c r="G1313">
        <v>8203352937</v>
      </c>
    </row>
    <row r="1314" spans="1:7" x14ac:dyDescent="0.3">
      <c r="A1314" t="s">
        <v>789</v>
      </c>
      <c r="B1314" t="s">
        <v>3590</v>
      </c>
      <c r="C1314">
        <v>43</v>
      </c>
      <c r="D1314" t="s">
        <v>1336</v>
      </c>
      <c r="E1314" t="s">
        <v>1367</v>
      </c>
      <c r="F1314" t="s">
        <v>1368</v>
      </c>
      <c r="G1314">
        <v>6835196822</v>
      </c>
    </row>
    <row r="1315" spans="1:7" x14ac:dyDescent="0.3">
      <c r="A1315" t="s">
        <v>3591</v>
      </c>
      <c r="B1315" t="s">
        <v>3592</v>
      </c>
      <c r="C1315">
        <v>54</v>
      </c>
      <c r="D1315" t="s">
        <v>1336</v>
      </c>
      <c r="E1315" t="s">
        <v>1504</v>
      </c>
      <c r="F1315" t="s">
        <v>1394</v>
      </c>
      <c r="G1315">
        <v>6496754286</v>
      </c>
    </row>
    <row r="1316" spans="1:7" x14ac:dyDescent="0.3">
      <c r="A1316" t="s">
        <v>580</v>
      </c>
      <c r="B1316" t="s">
        <v>3593</v>
      </c>
      <c r="C1316">
        <v>53</v>
      </c>
      <c r="D1316" t="s">
        <v>1328</v>
      </c>
      <c r="E1316" t="s">
        <v>1747</v>
      </c>
      <c r="F1316" t="s">
        <v>1391</v>
      </c>
      <c r="G1316">
        <v>6035820217</v>
      </c>
    </row>
    <row r="1317" spans="1:7" x14ac:dyDescent="0.3">
      <c r="A1317" t="s">
        <v>3594</v>
      </c>
      <c r="B1317" t="s">
        <v>3595</v>
      </c>
      <c r="C1317">
        <v>56</v>
      </c>
      <c r="D1317" t="s">
        <v>1336</v>
      </c>
      <c r="E1317" t="s">
        <v>1361</v>
      </c>
      <c r="F1317" t="s">
        <v>1362</v>
      </c>
      <c r="G1317">
        <v>6642205372</v>
      </c>
    </row>
    <row r="1318" spans="1:7" x14ac:dyDescent="0.3">
      <c r="A1318" t="s">
        <v>684</v>
      </c>
      <c r="B1318" t="s">
        <v>3596</v>
      </c>
      <c r="C1318">
        <v>34</v>
      </c>
      <c r="D1318" t="s">
        <v>1328</v>
      </c>
      <c r="E1318" t="s">
        <v>1649</v>
      </c>
      <c r="F1318" t="s">
        <v>1391</v>
      </c>
      <c r="G1318">
        <v>7799503085</v>
      </c>
    </row>
    <row r="1319" spans="1:7" x14ac:dyDescent="0.3">
      <c r="A1319" t="s">
        <v>3597</v>
      </c>
      <c r="B1319" t="s">
        <v>3598</v>
      </c>
      <c r="C1319">
        <v>27</v>
      </c>
      <c r="D1319" t="s">
        <v>1328</v>
      </c>
      <c r="E1319" t="s">
        <v>1386</v>
      </c>
      <c r="F1319" t="s">
        <v>1338</v>
      </c>
      <c r="G1319">
        <v>6049029792</v>
      </c>
    </row>
    <row r="1320" spans="1:7" x14ac:dyDescent="0.3">
      <c r="A1320" t="s">
        <v>1224</v>
      </c>
      <c r="B1320" t="s">
        <v>3599</v>
      </c>
      <c r="C1320">
        <v>25</v>
      </c>
      <c r="D1320" t="s">
        <v>1336</v>
      </c>
      <c r="E1320" t="s">
        <v>1815</v>
      </c>
      <c r="F1320" t="s">
        <v>1400</v>
      </c>
      <c r="G1320">
        <v>6409130130</v>
      </c>
    </row>
    <row r="1321" spans="1:7" x14ac:dyDescent="0.3">
      <c r="A1321" t="s">
        <v>3600</v>
      </c>
      <c r="B1321" t="s">
        <v>3601</v>
      </c>
      <c r="C1321">
        <v>26</v>
      </c>
      <c r="D1321" t="s">
        <v>1328</v>
      </c>
      <c r="E1321" t="s">
        <v>1475</v>
      </c>
      <c r="F1321" t="s">
        <v>1419</v>
      </c>
      <c r="G1321">
        <v>8107965976</v>
      </c>
    </row>
    <row r="1322" spans="1:7" x14ac:dyDescent="0.3">
      <c r="A1322" t="s">
        <v>600</v>
      </c>
      <c r="B1322" t="s">
        <v>3602</v>
      </c>
      <c r="C1322">
        <v>20</v>
      </c>
      <c r="D1322" t="s">
        <v>1336</v>
      </c>
      <c r="E1322" t="s">
        <v>1432</v>
      </c>
      <c r="F1322" t="s">
        <v>1342</v>
      </c>
      <c r="G1322">
        <v>9069590333</v>
      </c>
    </row>
    <row r="1323" spans="1:7" x14ac:dyDescent="0.3">
      <c r="A1323" t="s">
        <v>3603</v>
      </c>
      <c r="B1323" t="s">
        <v>3604</v>
      </c>
      <c r="C1323">
        <v>26</v>
      </c>
      <c r="D1323" t="s">
        <v>1336</v>
      </c>
      <c r="E1323" t="s">
        <v>1556</v>
      </c>
      <c r="F1323" t="s">
        <v>1333</v>
      </c>
      <c r="G1323">
        <v>7272564119</v>
      </c>
    </row>
    <row r="1324" spans="1:7" x14ac:dyDescent="0.3">
      <c r="A1324" t="s">
        <v>89</v>
      </c>
      <c r="B1324" t="s">
        <v>3605</v>
      </c>
      <c r="C1324">
        <v>44</v>
      </c>
      <c r="D1324" t="s">
        <v>1336</v>
      </c>
      <c r="E1324" t="s">
        <v>1511</v>
      </c>
      <c r="F1324" t="s">
        <v>1419</v>
      </c>
      <c r="G1324">
        <v>9301258169</v>
      </c>
    </row>
    <row r="1325" spans="1:7" x14ac:dyDescent="0.3">
      <c r="A1325" t="s">
        <v>3606</v>
      </c>
      <c r="B1325" t="s">
        <v>3607</v>
      </c>
      <c r="C1325">
        <v>40</v>
      </c>
      <c r="D1325" t="s">
        <v>1336</v>
      </c>
      <c r="E1325" t="s">
        <v>1413</v>
      </c>
      <c r="F1325" t="s">
        <v>1348</v>
      </c>
      <c r="G1325">
        <v>6614552098</v>
      </c>
    </row>
    <row r="1326" spans="1:7" x14ac:dyDescent="0.3">
      <c r="A1326" t="s">
        <v>656</v>
      </c>
      <c r="B1326" t="s">
        <v>3608</v>
      </c>
      <c r="C1326">
        <v>58</v>
      </c>
      <c r="D1326" t="s">
        <v>1328</v>
      </c>
      <c r="E1326" t="s">
        <v>1415</v>
      </c>
      <c r="F1326" t="s">
        <v>1348</v>
      </c>
      <c r="G1326">
        <v>7631045878</v>
      </c>
    </row>
    <row r="1327" spans="1:7" x14ac:dyDescent="0.3">
      <c r="A1327" t="s">
        <v>3609</v>
      </c>
      <c r="B1327" t="s">
        <v>3610</v>
      </c>
      <c r="C1327">
        <v>48</v>
      </c>
      <c r="D1327" t="s">
        <v>1336</v>
      </c>
      <c r="E1327" t="s">
        <v>1337</v>
      </c>
      <c r="F1327" t="s">
        <v>1338</v>
      </c>
      <c r="G1327">
        <v>7576940907</v>
      </c>
    </row>
    <row r="1328" spans="1:7" x14ac:dyDescent="0.3">
      <c r="A1328" t="s">
        <v>3611</v>
      </c>
      <c r="B1328" t="s">
        <v>3612</v>
      </c>
      <c r="C1328">
        <v>53</v>
      </c>
      <c r="D1328" t="s">
        <v>1336</v>
      </c>
      <c r="E1328" t="s">
        <v>1594</v>
      </c>
      <c r="F1328" t="s">
        <v>1445</v>
      </c>
      <c r="G1328">
        <v>9254573467</v>
      </c>
    </row>
    <row r="1329" spans="1:7" x14ac:dyDescent="0.3">
      <c r="A1329" t="s">
        <v>765</v>
      </c>
      <c r="B1329" t="s">
        <v>3613</v>
      </c>
      <c r="C1329">
        <v>43</v>
      </c>
      <c r="D1329" t="s">
        <v>1328</v>
      </c>
      <c r="E1329" t="s">
        <v>1422</v>
      </c>
      <c r="F1329" t="s">
        <v>1330</v>
      </c>
      <c r="G1329">
        <v>8840552546</v>
      </c>
    </row>
    <row r="1330" spans="1:7" x14ac:dyDescent="0.3">
      <c r="A1330" t="s">
        <v>644</v>
      </c>
      <c r="B1330" t="s">
        <v>3614</v>
      </c>
      <c r="C1330">
        <v>47</v>
      </c>
      <c r="D1330" t="s">
        <v>1336</v>
      </c>
      <c r="E1330" t="s">
        <v>1478</v>
      </c>
      <c r="F1330" t="s">
        <v>1391</v>
      </c>
      <c r="G1330">
        <v>7722217865</v>
      </c>
    </row>
    <row r="1331" spans="1:7" x14ac:dyDescent="0.3">
      <c r="A1331" t="s">
        <v>509</v>
      </c>
      <c r="B1331" t="s">
        <v>3615</v>
      </c>
      <c r="C1331">
        <v>51</v>
      </c>
      <c r="D1331" t="s">
        <v>1336</v>
      </c>
      <c r="E1331" t="s">
        <v>1591</v>
      </c>
      <c r="F1331" t="s">
        <v>1352</v>
      </c>
      <c r="G1331">
        <v>8207041929</v>
      </c>
    </row>
    <row r="1332" spans="1:7" x14ac:dyDescent="0.3">
      <c r="A1332" t="s">
        <v>3616</v>
      </c>
      <c r="B1332" t="s">
        <v>3617</v>
      </c>
      <c r="C1332">
        <v>38</v>
      </c>
      <c r="D1332" t="s">
        <v>1336</v>
      </c>
      <c r="E1332" t="s">
        <v>1388</v>
      </c>
      <c r="F1332" t="s">
        <v>1342</v>
      </c>
      <c r="G1332">
        <v>9003288038</v>
      </c>
    </row>
    <row r="1333" spans="1:7" x14ac:dyDescent="0.3">
      <c r="A1333" t="s">
        <v>3618</v>
      </c>
      <c r="B1333" t="s">
        <v>3619</v>
      </c>
      <c r="C1333">
        <v>56</v>
      </c>
      <c r="D1333" t="s">
        <v>1328</v>
      </c>
      <c r="E1333" t="s">
        <v>1361</v>
      </c>
      <c r="F1333" t="s">
        <v>1362</v>
      </c>
      <c r="G1333">
        <v>8398431093</v>
      </c>
    </row>
    <row r="1334" spans="1:7" x14ac:dyDescent="0.3">
      <c r="A1334" t="s">
        <v>3620</v>
      </c>
      <c r="B1334" t="s">
        <v>3621</v>
      </c>
      <c r="C1334">
        <v>61</v>
      </c>
      <c r="D1334" t="s">
        <v>1328</v>
      </c>
      <c r="E1334" t="s">
        <v>1556</v>
      </c>
      <c r="F1334" t="s">
        <v>1333</v>
      </c>
      <c r="G1334">
        <v>6588977376</v>
      </c>
    </row>
    <row r="1335" spans="1:7" x14ac:dyDescent="0.3">
      <c r="A1335" t="s">
        <v>3622</v>
      </c>
      <c r="B1335" t="s">
        <v>3623</v>
      </c>
      <c r="C1335">
        <v>57</v>
      </c>
      <c r="D1335" t="s">
        <v>1336</v>
      </c>
      <c r="E1335" t="s">
        <v>1637</v>
      </c>
      <c r="F1335" t="s">
        <v>1368</v>
      </c>
      <c r="G1335">
        <v>7910534594</v>
      </c>
    </row>
    <row r="1336" spans="1:7" x14ac:dyDescent="0.3">
      <c r="A1336" t="s">
        <v>172</v>
      </c>
      <c r="B1336" t="s">
        <v>3624</v>
      </c>
      <c r="C1336">
        <v>61</v>
      </c>
      <c r="D1336" t="s">
        <v>1336</v>
      </c>
      <c r="E1336" t="s">
        <v>1390</v>
      </c>
      <c r="F1336" t="s">
        <v>1391</v>
      </c>
      <c r="G1336">
        <v>6124893016</v>
      </c>
    </row>
    <row r="1337" spans="1:7" x14ac:dyDescent="0.3">
      <c r="A1337" t="s">
        <v>3625</v>
      </c>
      <c r="B1337" t="s">
        <v>3626</v>
      </c>
      <c r="C1337">
        <v>20</v>
      </c>
      <c r="D1337" t="s">
        <v>1336</v>
      </c>
      <c r="E1337" t="s">
        <v>1478</v>
      </c>
      <c r="F1337" t="s">
        <v>1391</v>
      </c>
      <c r="G1337">
        <v>8006704675</v>
      </c>
    </row>
    <row r="1338" spans="1:7" x14ac:dyDescent="0.3">
      <c r="A1338" t="s">
        <v>3627</v>
      </c>
      <c r="B1338" t="s">
        <v>3628</v>
      </c>
      <c r="C1338">
        <v>22</v>
      </c>
      <c r="D1338" t="s">
        <v>1328</v>
      </c>
      <c r="E1338" t="s">
        <v>1456</v>
      </c>
      <c r="F1338" t="s">
        <v>1394</v>
      </c>
      <c r="G1338">
        <v>9321994395</v>
      </c>
    </row>
    <row r="1339" spans="1:7" x14ac:dyDescent="0.3">
      <c r="A1339" t="s">
        <v>3629</v>
      </c>
      <c r="B1339" t="s">
        <v>3630</v>
      </c>
      <c r="C1339">
        <v>38</v>
      </c>
      <c r="D1339" t="s">
        <v>1328</v>
      </c>
      <c r="E1339" t="s">
        <v>1556</v>
      </c>
      <c r="F1339" t="s">
        <v>1333</v>
      </c>
      <c r="G1339">
        <v>7207268845</v>
      </c>
    </row>
    <row r="1340" spans="1:7" x14ac:dyDescent="0.3">
      <c r="A1340" t="s">
        <v>3631</v>
      </c>
      <c r="B1340" t="s">
        <v>3632</v>
      </c>
      <c r="C1340">
        <v>39</v>
      </c>
      <c r="D1340" t="s">
        <v>1336</v>
      </c>
      <c r="E1340" t="s">
        <v>1351</v>
      </c>
      <c r="F1340" t="s">
        <v>1352</v>
      </c>
      <c r="G1340">
        <v>8995013132</v>
      </c>
    </row>
    <row r="1341" spans="1:7" x14ac:dyDescent="0.3">
      <c r="A1341" t="s">
        <v>576</v>
      </c>
      <c r="B1341" t="s">
        <v>3633</v>
      </c>
      <c r="C1341">
        <v>18</v>
      </c>
      <c r="D1341" t="s">
        <v>1328</v>
      </c>
      <c r="E1341" t="s">
        <v>1393</v>
      </c>
      <c r="F1341" t="s">
        <v>1394</v>
      </c>
      <c r="G1341">
        <v>7984107572</v>
      </c>
    </row>
    <row r="1342" spans="1:7" x14ac:dyDescent="0.3">
      <c r="A1342" t="s">
        <v>875</v>
      </c>
      <c r="B1342" t="s">
        <v>3634</v>
      </c>
      <c r="C1342">
        <v>25</v>
      </c>
      <c r="D1342" t="s">
        <v>1328</v>
      </c>
      <c r="E1342" t="s">
        <v>1483</v>
      </c>
      <c r="F1342" t="s">
        <v>1368</v>
      </c>
      <c r="G1342">
        <v>7401856921</v>
      </c>
    </row>
    <row r="1343" spans="1:7" x14ac:dyDescent="0.3">
      <c r="A1343" t="s">
        <v>3635</v>
      </c>
      <c r="B1343" t="s">
        <v>3636</v>
      </c>
      <c r="C1343">
        <v>32</v>
      </c>
      <c r="D1343" t="s">
        <v>1336</v>
      </c>
      <c r="E1343" t="s">
        <v>1422</v>
      </c>
      <c r="F1343" t="s">
        <v>1330</v>
      </c>
      <c r="G1343">
        <v>7480585755</v>
      </c>
    </row>
    <row r="1344" spans="1:7" x14ac:dyDescent="0.3">
      <c r="A1344" t="s">
        <v>3637</v>
      </c>
      <c r="B1344" t="s">
        <v>3638</v>
      </c>
      <c r="C1344">
        <v>35</v>
      </c>
      <c r="D1344" t="s">
        <v>1336</v>
      </c>
      <c r="E1344" t="s">
        <v>1347</v>
      </c>
      <c r="F1344" t="s">
        <v>1348</v>
      </c>
      <c r="G1344">
        <v>8427278132</v>
      </c>
    </row>
    <row r="1345" spans="1:7" x14ac:dyDescent="0.3">
      <c r="A1345" t="s">
        <v>710</v>
      </c>
      <c r="B1345" t="s">
        <v>3639</v>
      </c>
      <c r="C1345">
        <v>59</v>
      </c>
      <c r="D1345" t="s">
        <v>1328</v>
      </c>
      <c r="E1345" t="s">
        <v>1637</v>
      </c>
      <c r="F1345" t="s">
        <v>1368</v>
      </c>
      <c r="G1345">
        <v>8231136731</v>
      </c>
    </row>
    <row r="1346" spans="1:7" x14ac:dyDescent="0.3">
      <c r="A1346" t="s">
        <v>3640</v>
      </c>
      <c r="B1346" t="s">
        <v>3641</v>
      </c>
      <c r="C1346">
        <v>51</v>
      </c>
      <c r="D1346" t="s">
        <v>1328</v>
      </c>
      <c r="E1346" t="s">
        <v>1478</v>
      </c>
      <c r="F1346" t="s">
        <v>1391</v>
      </c>
      <c r="G1346">
        <v>7572280682</v>
      </c>
    </row>
    <row r="1347" spans="1:7" x14ac:dyDescent="0.3">
      <c r="A1347" t="s">
        <v>3642</v>
      </c>
      <c r="B1347" t="s">
        <v>3643</v>
      </c>
      <c r="C1347">
        <v>55</v>
      </c>
      <c r="D1347" t="s">
        <v>1336</v>
      </c>
      <c r="E1347" t="s">
        <v>1365</v>
      </c>
      <c r="F1347" t="s">
        <v>1352</v>
      </c>
      <c r="G1347">
        <v>7972434157</v>
      </c>
    </row>
    <row r="1348" spans="1:7" x14ac:dyDescent="0.3">
      <c r="A1348" t="s">
        <v>3644</v>
      </c>
      <c r="B1348" t="s">
        <v>3645</v>
      </c>
      <c r="C1348">
        <v>65</v>
      </c>
      <c r="D1348" t="s">
        <v>1336</v>
      </c>
      <c r="E1348" t="s">
        <v>1371</v>
      </c>
      <c r="F1348" t="s">
        <v>1342</v>
      </c>
      <c r="G1348">
        <v>7182656709</v>
      </c>
    </row>
    <row r="1349" spans="1:7" x14ac:dyDescent="0.3">
      <c r="A1349" t="s">
        <v>3646</v>
      </c>
      <c r="B1349" t="s">
        <v>3647</v>
      </c>
      <c r="C1349">
        <v>48</v>
      </c>
      <c r="D1349" t="s">
        <v>1336</v>
      </c>
      <c r="E1349" t="s">
        <v>1408</v>
      </c>
      <c r="F1349" t="s">
        <v>1409</v>
      </c>
      <c r="G1349">
        <v>6871442932</v>
      </c>
    </row>
    <row r="1350" spans="1:7" x14ac:dyDescent="0.3">
      <c r="A1350" t="s">
        <v>3648</v>
      </c>
      <c r="B1350" t="s">
        <v>3649</v>
      </c>
      <c r="C1350">
        <v>45</v>
      </c>
      <c r="D1350" t="s">
        <v>1336</v>
      </c>
      <c r="E1350" t="s">
        <v>1713</v>
      </c>
      <c r="F1350" t="s">
        <v>1409</v>
      </c>
      <c r="G1350">
        <v>7893455406</v>
      </c>
    </row>
    <row r="1351" spans="1:7" x14ac:dyDescent="0.3">
      <c r="A1351" t="s">
        <v>3650</v>
      </c>
      <c r="B1351" t="s">
        <v>3651</v>
      </c>
      <c r="C1351">
        <v>30</v>
      </c>
      <c r="D1351" t="s">
        <v>1336</v>
      </c>
      <c r="E1351" t="s">
        <v>1411</v>
      </c>
      <c r="F1351" t="s">
        <v>1356</v>
      </c>
      <c r="G1351">
        <v>9073103159</v>
      </c>
    </row>
    <row r="1352" spans="1:7" x14ac:dyDescent="0.3">
      <c r="A1352" t="s">
        <v>496</v>
      </c>
      <c r="B1352" t="s">
        <v>3652</v>
      </c>
      <c r="C1352">
        <v>45</v>
      </c>
      <c r="D1352" t="s">
        <v>1336</v>
      </c>
      <c r="E1352" t="s">
        <v>1413</v>
      </c>
      <c r="F1352" t="s">
        <v>1348</v>
      </c>
      <c r="G1352">
        <v>8216443806</v>
      </c>
    </row>
    <row r="1353" spans="1:7" x14ac:dyDescent="0.3">
      <c r="A1353" t="s">
        <v>3653</v>
      </c>
      <c r="B1353" t="s">
        <v>3654</v>
      </c>
      <c r="C1353">
        <v>56</v>
      </c>
      <c r="D1353" t="s">
        <v>1336</v>
      </c>
      <c r="E1353" t="s">
        <v>1456</v>
      </c>
      <c r="F1353" t="s">
        <v>1394</v>
      </c>
      <c r="G1353">
        <v>6624725164</v>
      </c>
    </row>
    <row r="1354" spans="1:7" x14ac:dyDescent="0.3">
      <c r="A1354" t="s">
        <v>1136</v>
      </c>
      <c r="B1354" t="s">
        <v>3655</v>
      </c>
      <c r="C1354">
        <v>46</v>
      </c>
      <c r="D1354" t="s">
        <v>1328</v>
      </c>
      <c r="E1354" t="s">
        <v>1393</v>
      </c>
      <c r="F1354" t="s">
        <v>1394</v>
      </c>
      <c r="G1354">
        <v>9380754364</v>
      </c>
    </row>
    <row r="1355" spans="1:7" x14ac:dyDescent="0.3">
      <c r="A1355" t="s">
        <v>3656</v>
      </c>
      <c r="B1355" t="s">
        <v>3657</v>
      </c>
      <c r="C1355">
        <v>33</v>
      </c>
      <c r="D1355" t="s">
        <v>1336</v>
      </c>
      <c r="E1355" t="s">
        <v>1418</v>
      </c>
      <c r="F1355" t="s">
        <v>1419</v>
      </c>
      <c r="G1355">
        <v>9145922360</v>
      </c>
    </row>
    <row r="1356" spans="1:7" x14ac:dyDescent="0.3">
      <c r="A1356" t="s">
        <v>3658</v>
      </c>
      <c r="B1356" t="s">
        <v>3659</v>
      </c>
      <c r="C1356">
        <v>60</v>
      </c>
      <c r="D1356" t="s">
        <v>1328</v>
      </c>
      <c r="E1356" t="s">
        <v>1377</v>
      </c>
      <c r="F1356" t="s">
        <v>1368</v>
      </c>
      <c r="G1356">
        <v>6872243243</v>
      </c>
    </row>
    <row r="1357" spans="1:7" x14ac:dyDescent="0.3">
      <c r="A1357" t="s">
        <v>409</v>
      </c>
      <c r="B1357" t="s">
        <v>3660</v>
      </c>
      <c r="C1357">
        <v>58</v>
      </c>
      <c r="D1357" t="s">
        <v>1336</v>
      </c>
      <c r="E1357" t="s">
        <v>1374</v>
      </c>
      <c r="F1357" t="s">
        <v>1348</v>
      </c>
      <c r="G1357">
        <v>8619524973</v>
      </c>
    </row>
    <row r="1358" spans="1:7" x14ac:dyDescent="0.3">
      <c r="A1358" t="s">
        <v>3661</v>
      </c>
      <c r="B1358" t="s">
        <v>3662</v>
      </c>
      <c r="C1358">
        <v>54</v>
      </c>
      <c r="D1358" t="s">
        <v>1328</v>
      </c>
      <c r="E1358" t="s">
        <v>1832</v>
      </c>
      <c r="F1358" t="s">
        <v>1368</v>
      </c>
      <c r="G1358">
        <v>7849767536</v>
      </c>
    </row>
    <row r="1359" spans="1:7" x14ac:dyDescent="0.3">
      <c r="A1359" t="s">
        <v>1160</v>
      </c>
      <c r="B1359" t="s">
        <v>3663</v>
      </c>
      <c r="C1359">
        <v>53</v>
      </c>
      <c r="D1359" t="s">
        <v>1336</v>
      </c>
      <c r="E1359" t="s">
        <v>1397</v>
      </c>
      <c r="F1359" t="s">
        <v>1333</v>
      </c>
      <c r="G1359">
        <v>7167106258</v>
      </c>
    </row>
    <row r="1360" spans="1:7" x14ac:dyDescent="0.3">
      <c r="A1360" t="s">
        <v>3664</v>
      </c>
      <c r="B1360" t="s">
        <v>3665</v>
      </c>
      <c r="C1360">
        <v>41</v>
      </c>
      <c r="D1360" t="s">
        <v>1328</v>
      </c>
      <c r="E1360" t="s">
        <v>1403</v>
      </c>
      <c r="F1360" t="s">
        <v>1362</v>
      </c>
      <c r="G1360">
        <v>7016492212</v>
      </c>
    </row>
    <row r="1361" spans="1:7" x14ac:dyDescent="0.3">
      <c r="A1361" t="s">
        <v>365</v>
      </c>
      <c r="B1361" t="s">
        <v>3666</v>
      </c>
      <c r="C1361">
        <v>50</v>
      </c>
      <c r="D1361" t="s">
        <v>1336</v>
      </c>
      <c r="E1361" t="s">
        <v>1591</v>
      </c>
      <c r="F1361" t="s">
        <v>1352</v>
      </c>
      <c r="G1361">
        <v>7140277698</v>
      </c>
    </row>
    <row r="1362" spans="1:7" x14ac:dyDescent="0.3">
      <c r="A1362" t="s">
        <v>3667</v>
      </c>
      <c r="B1362" t="s">
        <v>3668</v>
      </c>
      <c r="C1362">
        <v>22</v>
      </c>
      <c r="D1362" t="s">
        <v>1328</v>
      </c>
      <c r="E1362" t="s">
        <v>1337</v>
      </c>
      <c r="F1362" t="s">
        <v>1338</v>
      </c>
      <c r="G1362">
        <v>8236508891</v>
      </c>
    </row>
    <row r="1363" spans="1:7" x14ac:dyDescent="0.3">
      <c r="A1363" t="s">
        <v>3669</v>
      </c>
      <c r="B1363" t="s">
        <v>3670</v>
      </c>
      <c r="C1363">
        <v>23</v>
      </c>
      <c r="D1363" t="s">
        <v>1328</v>
      </c>
      <c r="E1363" t="s">
        <v>1747</v>
      </c>
      <c r="F1363" t="s">
        <v>1391</v>
      </c>
      <c r="G1363">
        <v>9117741161</v>
      </c>
    </row>
    <row r="1364" spans="1:7" x14ac:dyDescent="0.3">
      <c r="A1364" t="s">
        <v>3671</v>
      </c>
      <c r="B1364" t="s">
        <v>3672</v>
      </c>
      <c r="C1364">
        <v>40</v>
      </c>
      <c r="D1364" t="s">
        <v>1328</v>
      </c>
      <c r="E1364" t="s">
        <v>1713</v>
      </c>
      <c r="F1364" t="s">
        <v>1409</v>
      </c>
      <c r="G1364">
        <v>6953958562</v>
      </c>
    </row>
    <row r="1365" spans="1:7" x14ac:dyDescent="0.3">
      <c r="A1365" t="s">
        <v>998</v>
      </c>
      <c r="B1365" t="s">
        <v>3673</v>
      </c>
      <c r="C1365">
        <v>52</v>
      </c>
      <c r="D1365" t="s">
        <v>1328</v>
      </c>
      <c r="E1365" t="s">
        <v>1337</v>
      </c>
      <c r="F1365" t="s">
        <v>1338</v>
      </c>
      <c r="G1365">
        <v>7710966157</v>
      </c>
    </row>
    <row r="1366" spans="1:7" x14ac:dyDescent="0.3">
      <c r="A1366" t="s">
        <v>503</v>
      </c>
      <c r="B1366" t="s">
        <v>3674</v>
      </c>
      <c r="C1366">
        <v>41</v>
      </c>
      <c r="D1366" t="s">
        <v>1328</v>
      </c>
      <c r="E1366" t="s">
        <v>1418</v>
      </c>
      <c r="F1366" t="s">
        <v>1419</v>
      </c>
      <c r="G1366">
        <v>9578182107</v>
      </c>
    </row>
    <row r="1367" spans="1:7" x14ac:dyDescent="0.3">
      <c r="A1367" t="s">
        <v>3675</v>
      </c>
      <c r="B1367" t="s">
        <v>3676</v>
      </c>
      <c r="C1367">
        <v>53</v>
      </c>
      <c r="D1367" t="s">
        <v>1328</v>
      </c>
      <c r="E1367" t="s">
        <v>1377</v>
      </c>
      <c r="F1367" t="s">
        <v>1368</v>
      </c>
      <c r="G1367">
        <v>7966259870</v>
      </c>
    </row>
    <row r="1368" spans="1:7" x14ac:dyDescent="0.3">
      <c r="A1368" t="s">
        <v>3677</v>
      </c>
      <c r="B1368" t="s">
        <v>3678</v>
      </c>
      <c r="C1368">
        <v>56</v>
      </c>
      <c r="D1368" t="s">
        <v>1328</v>
      </c>
      <c r="E1368" t="s">
        <v>1418</v>
      </c>
      <c r="F1368" t="s">
        <v>1419</v>
      </c>
      <c r="G1368">
        <v>9864620351</v>
      </c>
    </row>
    <row r="1369" spans="1:7" x14ac:dyDescent="0.3">
      <c r="A1369" t="s">
        <v>708</v>
      </c>
      <c r="B1369" t="s">
        <v>3679</v>
      </c>
      <c r="C1369">
        <v>49</v>
      </c>
      <c r="D1369" t="s">
        <v>1336</v>
      </c>
      <c r="E1369" t="s">
        <v>1377</v>
      </c>
      <c r="F1369" t="s">
        <v>1368</v>
      </c>
      <c r="G1369">
        <v>6372922398</v>
      </c>
    </row>
    <row r="1370" spans="1:7" x14ac:dyDescent="0.3">
      <c r="A1370" t="s">
        <v>3680</v>
      </c>
      <c r="B1370" t="s">
        <v>3681</v>
      </c>
      <c r="C1370">
        <v>29</v>
      </c>
      <c r="D1370" t="s">
        <v>1328</v>
      </c>
      <c r="E1370" t="s">
        <v>1478</v>
      </c>
      <c r="F1370" t="s">
        <v>1391</v>
      </c>
      <c r="G1370">
        <v>8629932874</v>
      </c>
    </row>
    <row r="1371" spans="1:7" x14ac:dyDescent="0.3">
      <c r="A1371" t="s">
        <v>1170</v>
      </c>
      <c r="B1371" t="s">
        <v>3682</v>
      </c>
      <c r="C1371">
        <v>33</v>
      </c>
      <c r="D1371" t="s">
        <v>1328</v>
      </c>
      <c r="E1371" t="s">
        <v>1329</v>
      </c>
      <c r="F1371" t="s">
        <v>1330</v>
      </c>
      <c r="G1371">
        <v>7014954213</v>
      </c>
    </row>
    <row r="1372" spans="1:7" x14ac:dyDescent="0.3">
      <c r="A1372" t="s">
        <v>3683</v>
      </c>
      <c r="B1372" t="s">
        <v>3684</v>
      </c>
      <c r="C1372">
        <v>52</v>
      </c>
      <c r="D1372" t="s">
        <v>1336</v>
      </c>
      <c r="E1372" t="s">
        <v>1668</v>
      </c>
      <c r="F1372" t="s">
        <v>1445</v>
      </c>
      <c r="G1372">
        <v>7044976104</v>
      </c>
    </row>
    <row r="1373" spans="1:7" x14ac:dyDescent="0.3">
      <c r="A1373" t="s">
        <v>3685</v>
      </c>
      <c r="B1373" t="s">
        <v>3686</v>
      </c>
      <c r="C1373">
        <v>47</v>
      </c>
      <c r="D1373" t="s">
        <v>1336</v>
      </c>
      <c r="E1373" t="s">
        <v>1602</v>
      </c>
      <c r="F1373" t="s">
        <v>1400</v>
      </c>
      <c r="G1373">
        <v>6235176381</v>
      </c>
    </row>
    <row r="1374" spans="1:7" x14ac:dyDescent="0.3">
      <c r="A1374" t="s">
        <v>3687</v>
      </c>
      <c r="B1374" t="s">
        <v>3688</v>
      </c>
      <c r="C1374">
        <v>57</v>
      </c>
      <c r="D1374" t="s">
        <v>1336</v>
      </c>
      <c r="E1374" t="s">
        <v>1483</v>
      </c>
      <c r="F1374" t="s">
        <v>1368</v>
      </c>
      <c r="G1374">
        <v>9545664152</v>
      </c>
    </row>
    <row r="1375" spans="1:7" x14ac:dyDescent="0.3">
      <c r="A1375" t="s">
        <v>3689</v>
      </c>
      <c r="B1375" t="s">
        <v>3690</v>
      </c>
      <c r="C1375">
        <v>36</v>
      </c>
      <c r="D1375" t="s">
        <v>1336</v>
      </c>
      <c r="E1375" t="s">
        <v>1355</v>
      </c>
      <c r="F1375" t="s">
        <v>1356</v>
      </c>
      <c r="G1375">
        <v>8289605328</v>
      </c>
    </row>
    <row r="1376" spans="1:7" x14ac:dyDescent="0.3">
      <c r="A1376" t="s">
        <v>3691</v>
      </c>
      <c r="B1376" t="s">
        <v>3692</v>
      </c>
      <c r="C1376">
        <v>28</v>
      </c>
      <c r="D1376" t="s">
        <v>1328</v>
      </c>
      <c r="E1376" t="s">
        <v>1351</v>
      </c>
      <c r="F1376" t="s">
        <v>1352</v>
      </c>
      <c r="G1376">
        <v>8831137084</v>
      </c>
    </row>
    <row r="1377" spans="1:7" x14ac:dyDescent="0.3">
      <c r="A1377" t="s">
        <v>3693</v>
      </c>
      <c r="B1377" t="s">
        <v>3694</v>
      </c>
      <c r="C1377">
        <v>36</v>
      </c>
      <c r="D1377" t="s">
        <v>1336</v>
      </c>
      <c r="E1377" t="s">
        <v>1361</v>
      </c>
      <c r="F1377" t="s">
        <v>1362</v>
      </c>
      <c r="G1377">
        <v>9105622641</v>
      </c>
    </row>
    <row r="1378" spans="1:7" x14ac:dyDescent="0.3">
      <c r="A1378" t="s">
        <v>1118</v>
      </c>
      <c r="B1378" t="s">
        <v>3695</v>
      </c>
      <c r="C1378">
        <v>39</v>
      </c>
      <c r="D1378" t="s">
        <v>1328</v>
      </c>
      <c r="E1378" t="s">
        <v>1411</v>
      </c>
      <c r="F1378" t="s">
        <v>1356</v>
      </c>
      <c r="G1378">
        <v>6413681471</v>
      </c>
    </row>
    <row r="1379" spans="1:7" x14ac:dyDescent="0.3">
      <c r="A1379" t="s">
        <v>3696</v>
      </c>
      <c r="B1379" t="s">
        <v>3697</v>
      </c>
      <c r="C1379">
        <v>18</v>
      </c>
      <c r="D1379" t="s">
        <v>1328</v>
      </c>
      <c r="E1379" t="s">
        <v>1483</v>
      </c>
      <c r="F1379" t="s">
        <v>1368</v>
      </c>
      <c r="G1379">
        <v>6055836542</v>
      </c>
    </row>
    <row r="1380" spans="1:7" x14ac:dyDescent="0.3">
      <c r="A1380" t="s">
        <v>3698</v>
      </c>
      <c r="B1380" t="s">
        <v>3699</v>
      </c>
      <c r="C1380">
        <v>48</v>
      </c>
      <c r="D1380" t="s">
        <v>1328</v>
      </c>
      <c r="E1380" t="s">
        <v>1411</v>
      </c>
      <c r="F1380" t="s">
        <v>1356</v>
      </c>
      <c r="G1380">
        <v>6264370286</v>
      </c>
    </row>
    <row r="1381" spans="1:7" x14ac:dyDescent="0.3">
      <c r="A1381" t="s">
        <v>319</v>
      </c>
      <c r="B1381" t="s">
        <v>3700</v>
      </c>
      <c r="C1381">
        <v>56</v>
      </c>
      <c r="D1381" t="s">
        <v>1328</v>
      </c>
      <c r="E1381" t="s">
        <v>1351</v>
      </c>
      <c r="F1381" t="s">
        <v>1352</v>
      </c>
      <c r="G1381">
        <v>8064776786</v>
      </c>
    </row>
    <row r="1382" spans="1:7" x14ac:dyDescent="0.3">
      <c r="A1382" t="s">
        <v>86</v>
      </c>
      <c r="B1382" t="s">
        <v>3701</v>
      </c>
      <c r="C1382">
        <v>56</v>
      </c>
      <c r="D1382" t="s">
        <v>1328</v>
      </c>
      <c r="E1382" t="s">
        <v>1456</v>
      </c>
      <c r="F1382" t="s">
        <v>1394</v>
      </c>
      <c r="G1382">
        <v>9367308089</v>
      </c>
    </row>
    <row r="1383" spans="1:7" x14ac:dyDescent="0.3">
      <c r="A1383" t="s">
        <v>3702</v>
      </c>
      <c r="B1383" t="s">
        <v>3703</v>
      </c>
      <c r="C1383">
        <v>58</v>
      </c>
      <c r="D1383" t="s">
        <v>1336</v>
      </c>
      <c r="E1383" t="s">
        <v>1381</v>
      </c>
      <c r="F1383" t="s">
        <v>1352</v>
      </c>
      <c r="G1383">
        <v>9127452215</v>
      </c>
    </row>
    <row r="1384" spans="1:7" x14ac:dyDescent="0.3">
      <c r="A1384" t="s">
        <v>3704</v>
      </c>
      <c r="B1384" t="s">
        <v>3705</v>
      </c>
      <c r="C1384">
        <v>65</v>
      </c>
      <c r="D1384" t="s">
        <v>1336</v>
      </c>
      <c r="E1384" t="s">
        <v>1568</v>
      </c>
      <c r="F1384" t="s">
        <v>1445</v>
      </c>
      <c r="G1384">
        <v>8223097520</v>
      </c>
    </row>
    <row r="1385" spans="1:7" x14ac:dyDescent="0.3">
      <c r="A1385" t="s">
        <v>893</v>
      </c>
      <c r="B1385" t="s">
        <v>3706</v>
      </c>
      <c r="C1385">
        <v>48</v>
      </c>
      <c r="D1385" t="s">
        <v>1336</v>
      </c>
      <c r="E1385" t="s">
        <v>1411</v>
      </c>
      <c r="F1385" t="s">
        <v>1356</v>
      </c>
      <c r="G1385">
        <v>8470746109</v>
      </c>
    </row>
    <row r="1386" spans="1:7" x14ac:dyDescent="0.3">
      <c r="A1386" t="s">
        <v>3707</v>
      </c>
      <c r="B1386" t="s">
        <v>3708</v>
      </c>
      <c r="C1386">
        <v>47</v>
      </c>
      <c r="D1386" t="s">
        <v>1328</v>
      </c>
      <c r="E1386" t="s">
        <v>1403</v>
      </c>
      <c r="F1386" t="s">
        <v>1362</v>
      </c>
      <c r="G1386">
        <v>9710377372</v>
      </c>
    </row>
    <row r="1387" spans="1:7" x14ac:dyDescent="0.3">
      <c r="A1387" t="s">
        <v>3709</v>
      </c>
      <c r="B1387" t="s">
        <v>3710</v>
      </c>
      <c r="C1387">
        <v>41</v>
      </c>
      <c r="D1387" t="s">
        <v>1328</v>
      </c>
      <c r="E1387" t="s">
        <v>1668</v>
      </c>
      <c r="F1387" t="s">
        <v>1445</v>
      </c>
      <c r="G1387">
        <v>8191578518</v>
      </c>
    </row>
    <row r="1388" spans="1:7" x14ac:dyDescent="0.3">
      <c r="A1388" t="s">
        <v>505</v>
      </c>
      <c r="B1388" t="s">
        <v>3711</v>
      </c>
      <c r="C1388">
        <v>41</v>
      </c>
      <c r="D1388" t="s">
        <v>1328</v>
      </c>
      <c r="E1388" t="s">
        <v>1517</v>
      </c>
      <c r="F1388" t="s">
        <v>1362</v>
      </c>
      <c r="G1388">
        <v>7762768571</v>
      </c>
    </row>
    <row r="1389" spans="1:7" x14ac:dyDescent="0.3">
      <c r="A1389" t="s">
        <v>3712</v>
      </c>
      <c r="B1389" t="s">
        <v>3713</v>
      </c>
      <c r="C1389">
        <v>58</v>
      </c>
      <c r="D1389" t="s">
        <v>1336</v>
      </c>
      <c r="E1389" t="s">
        <v>1463</v>
      </c>
      <c r="F1389" t="s">
        <v>1391</v>
      </c>
      <c r="G1389">
        <v>8222305251</v>
      </c>
    </row>
    <row r="1390" spans="1:7" x14ac:dyDescent="0.3">
      <c r="A1390" t="s">
        <v>404</v>
      </c>
      <c r="B1390" t="s">
        <v>3714</v>
      </c>
      <c r="C1390">
        <v>52</v>
      </c>
      <c r="D1390" t="s">
        <v>1336</v>
      </c>
      <c r="E1390" t="s">
        <v>1422</v>
      </c>
      <c r="F1390" t="s">
        <v>1330</v>
      </c>
      <c r="G1390">
        <v>7202081840</v>
      </c>
    </row>
    <row r="1391" spans="1:7" x14ac:dyDescent="0.3">
      <c r="A1391" t="s">
        <v>3715</v>
      </c>
      <c r="B1391" t="s">
        <v>3716</v>
      </c>
      <c r="C1391">
        <v>25</v>
      </c>
      <c r="D1391" t="s">
        <v>1336</v>
      </c>
      <c r="E1391" t="s">
        <v>1655</v>
      </c>
      <c r="F1391" t="s">
        <v>1409</v>
      </c>
      <c r="G1391">
        <v>6972161436</v>
      </c>
    </row>
    <row r="1392" spans="1:7" x14ac:dyDescent="0.3">
      <c r="A1392" t="s">
        <v>3717</v>
      </c>
      <c r="B1392" t="s">
        <v>3718</v>
      </c>
      <c r="C1392">
        <v>29</v>
      </c>
      <c r="D1392" t="s">
        <v>1328</v>
      </c>
      <c r="E1392" t="s">
        <v>1542</v>
      </c>
      <c r="F1392" t="s">
        <v>1409</v>
      </c>
      <c r="G1392">
        <v>7451390562</v>
      </c>
    </row>
    <row r="1393" spans="1:7" x14ac:dyDescent="0.3">
      <c r="A1393" t="s">
        <v>3719</v>
      </c>
      <c r="B1393" t="s">
        <v>3720</v>
      </c>
      <c r="C1393">
        <v>36</v>
      </c>
      <c r="D1393" t="s">
        <v>1328</v>
      </c>
      <c r="E1393" t="s">
        <v>1347</v>
      </c>
      <c r="F1393" t="s">
        <v>1348</v>
      </c>
      <c r="G1393">
        <v>6891638705</v>
      </c>
    </row>
    <row r="1394" spans="1:7" x14ac:dyDescent="0.3">
      <c r="A1394" t="s">
        <v>3721</v>
      </c>
      <c r="B1394" t="s">
        <v>3722</v>
      </c>
      <c r="C1394">
        <v>59</v>
      </c>
      <c r="D1394" t="s">
        <v>1336</v>
      </c>
      <c r="E1394" t="s">
        <v>1358</v>
      </c>
      <c r="F1394" t="s">
        <v>1356</v>
      </c>
      <c r="G1394">
        <v>7681658758</v>
      </c>
    </row>
    <row r="1395" spans="1:7" x14ac:dyDescent="0.3">
      <c r="A1395" t="s">
        <v>1078</v>
      </c>
      <c r="B1395" t="s">
        <v>3723</v>
      </c>
      <c r="C1395">
        <v>40</v>
      </c>
      <c r="D1395" t="s">
        <v>1328</v>
      </c>
      <c r="E1395" t="s">
        <v>1478</v>
      </c>
      <c r="F1395" t="s">
        <v>1391</v>
      </c>
      <c r="G1395">
        <v>8988756325</v>
      </c>
    </row>
    <row r="1396" spans="1:7" x14ac:dyDescent="0.3">
      <c r="A1396" t="s">
        <v>470</v>
      </c>
      <c r="B1396" t="s">
        <v>3724</v>
      </c>
      <c r="C1396">
        <v>51</v>
      </c>
      <c r="D1396" t="s">
        <v>1336</v>
      </c>
      <c r="E1396" t="s">
        <v>1475</v>
      </c>
      <c r="F1396" t="s">
        <v>1419</v>
      </c>
      <c r="G1396">
        <v>7437248848</v>
      </c>
    </row>
    <row r="1397" spans="1:7" x14ac:dyDescent="0.3">
      <c r="A1397" t="s">
        <v>3725</v>
      </c>
      <c r="B1397" t="s">
        <v>3726</v>
      </c>
      <c r="C1397">
        <v>18</v>
      </c>
      <c r="D1397" t="s">
        <v>1336</v>
      </c>
      <c r="E1397" t="s">
        <v>1815</v>
      </c>
      <c r="F1397" t="s">
        <v>1400</v>
      </c>
      <c r="G1397">
        <v>9331738206</v>
      </c>
    </row>
    <row r="1398" spans="1:7" x14ac:dyDescent="0.3">
      <c r="A1398" t="s">
        <v>72</v>
      </c>
      <c r="B1398" t="s">
        <v>3727</v>
      </c>
      <c r="C1398">
        <v>39</v>
      </c>
      <c r="D1398" t="s">
        <v>1336</v>
      </c>
      <c r="E1398" t="s">
        <v>1393</v>
      </c>
      <c r="F1398" t="s">
        <v>1394</v>
      </c>
      <c r="G1398">
        <v>6851389894</v>
      </c>
    </row>
    <row r="1399" spans="1:7" x14ac:dyDescent="0.3">
      <c r="A1399" t="s">
        <v>3728</v>
      </c>
      <c r="B1399" t="s">
        <v>3729</v>
      </c>
      <c r="C1399">
        <v>38</v>
      </c>
      <c r="D1399" t="s">
        <v>1336</v>
      </c>
      <c r="E1399" t="s">
        <v>1475</v>
      </c>
      <c r="F1399" t="s">
        <v>1419</v>
      </c>
      <c r="G1399">
        <v>7825297695</v>
      </c>
    </row>
    <row r="1400" spans="1:7" x14ac:dyDescent="0.3">
      <c r="A1400" t="s">
        <v>3730</v>
      </c>
      <c r="B1400" t="s">
        <v>3731</v>
      </c>
      <c r="C1400">
        <v>31</v>
      </c>
      <c r="D1400" t="s">
        <v>1328</v>
      </c>
      <c r="E1400" t="s">
        <v>1345</v>
      </c>
      <c r="F1400" t="s">
        <v>1330</v>
      </c>
      <c r="G1400">
        <v>6574037836</v>
      </c>
    </row>
    <row r="1401" spans="1:7" x14ac:dyDescent="0.3">
      <c r="A1401" t="s">
        <v>3732</v>
      </c>
      <c r="B1401" t="s">
        <v>3733</v>
      </c>
      <c r="C1401">
        <v>46</v>
      </c>
      <c r="D1401" t="s">
        <v>1336</v>
      </c>
      <c r="E1401" t="s">
        <v>1591</v>
      </c>
      <c r="F1401" t="s">
        <v>1352</v>
      </c>
      <c r="G1401">
        <v>8208965464</v>
      </c>
    </row>
    <row r="1402" spans="1:7" x14ac:dyDescent="0.3">
      <c r="A1402" t="s">
        <v>3734</v>
      </c>
      <c r="B1402" t="s">
        <v>3735</v>
      </c>
      <c r="C1402">
        <v>63</v>
      </c>
      <c r="D1402" t="s">
        <v>1328</v>
      </c>
      <c r="E1402" t="s">
        <v>1478</v>
      </c>
      <c r="F1402" t="s">
        <v>1391</v>
      </c>
      <c r="G1402">
        <v>7794795136</v>
      </c>
    </row>
    <row r="1403" spans="1:7" x14ac:dyDescent="0.3">
      <c r="A1403" t="s">
        <v>1066</v>
      </c>
      <c r="B1403" t="s">
        <v>3736</v>
      </c>
      <c r="C1403">
        <v>58</v>
      </c>
      <c r="D1403" t="s">
        <v>1328</v>
      </c>
      <c r="E1403" t="s">
        <v>1461</v>
      </c>
      <c r="F1403" t="s">
        <v>1445</v>
      </c>
      <c r="G1403">
        <v>8576323945</v>
      </c>
    </row>
    <row r="1404" spans="1:7" x14ac:dyDescent="0.3">
      <c r="A1404" t="s">
        <v>3737</v>
      </c>
      <c r="B1404" t="s">
        <v>3738</v>
      </c>
      <c r="C1404">
        <v>54</v>
      </c>
      <c r="D1404" t="s">
        <v>1336</v>
      </c>
      <c r="E1404" t="s">
        <v>1371</v>
      </c>
      <c r="F1404" t="s">
        <v>1342</v>
      </c>
      <c r="G1404">
        <v>9656796162</v>
      </c>
    </row>
    <row r="1405" spans="1:7" x14ac:dyDescent="0.3">
      <c r="A1405" t="s">
        <v>234</v>
      </c>
      <c r="B1405" t="s">
        <v>3739</v>
      </c>
      <c r="C1405">
        <v>35</v>
      </c>
      <c r="D1405" t="s">
        <v>1328</v>
      </c>
      <c r="E1405" t="s">
        <v>1408</v>
      </c>
      <c r="F1405" t="s">
        <v>1409</v>
      </c>
      <c r="G1405">
        <v>6821921119</v>
      </c>
    </row>
    <row r="1406" spans="1:7" x14ac:dyDescent="0.3">
      <c r="A1406" t="s">
        <v>3740</v>
      </c>
      <c r="B1406" t="s">
        <v>3741</v>
      </c>
      <c r="C1406">
        <v>27</v>
      </c>
      <c r="D1406" t="s">
        <v>1336</v>
      </c>
      <c r="E1406" t="s">
        <v>1345</v>
      </c>
      <c r="F1406" t="s">
        <v>1330</v>
      </c>
      <c r="G1406">
        <v>8327428374</v>
      </c>
    </row>
    <row r="1407" spans="1:7" x14ac:dyDescent="0.3">
      <c r="A1407" t="s">
        <v>3742</v>
      </c>
      <c r="B1407" t="s">
        <v>3743</v>
      </c>
      <c r="C1407">
        <v>55</v>
      </c>
      <c r="D1407" t="s">
        <v>1336</v>
      </c>
      <c r="E1407" t="s">
        <v>1399</v>
      </c>
      <c r="F1407" t="s">
        <v>1400</v>
      </c>
      <c r="G1407">
        <v>9041533008</v>
      </c>
    </row>
    <row r="1408" spans="1:7" x14ac:dyDescent="0.3">
      <c r="A1408" t="s">
        <v>3744</v>
      </c>
      <c r="B1408" t="s">
        <v>3745</v>
      </c>
      <c r="C1408">
        <v>35</v>
      </c>
      <c r="D1408" t="s">
        <v>1328</v>
      </c>
      <c r="E1408" t="s">
        <v>1377</v>
      </c>
      <c r="F1408" t="s">
        <v>1368</v>
      </c>
      <c r="G1408">
        <v>9612506915</v>
      </c>
    </row>
    <row r="1409" spans="1:7" x14ac:dyDescent="0.3">
      <c r="A1409" t="s">
        <v>1082</v>
      </c>
      <c r="B1409" t="s">
        <v>3746</v>
      </c>
      <c r="C1409">
        <v>39</v>
      </c>
      <c r="D1409" t="s">
        <v>1328</v>
      </c>
      <c r="E1409" t="s">
        <v>1498</v>
      </c>
      <c r="F1409" t="s">
        <v>1362</v>
      </c>
      <c r="G1409">
        <v>7233284386</v>
      </c>
    </row>
    <row r="1410" spans="1:7" x14ac:dyDescent="0.3">
      <c r="A1410" t="s">
        <v>3747</v>
      </c>
      <c r="B1410" t="s">
        <v>3748</v>
      </c>
      <c r="C1410">
        <v>33</v>
      </c>
      <c r="D1410" t="s">
        <v>1328</v>
      </c>
      <c r="E1410" t="s">
        <v>1501</v>
      </c>
      <c r="F1410" t="s">
        <v>1394</v>
      </c>
      <c r="G1410">
        <v>6109754497</v>
      </c>
    </row>
    <row r="1411" spans="1:7" x14ac:dyDescent="0.3">
      <c r="A1411" t="s">
        <v>244</v>
      </c>
      <c r="B1411" t="s">
        <v>3749</v>
      </c>
      <c r="C1411">
        <v>57</v>
      </c>
      <c r="D1411" t="s">
        <v>1336</v>
      </c>
      <c r="E1411" t="s">
        <v>1403</v>
      </c>
      <c r="F1411" t="s">
        <v>1362</v>
      </c>
      <c r="G1411">
        <v>6853225075</v>
      </c>
    </row>
    <row r="1412" spans="1:7" x14ac:dyDescent="0.3">
      <c r="A1412" t="s">
        <v>1238</v>
      </c>
      <c r="B1412" t="s">
        <v>3750</v>
      </c>
      <c r="C1412">
        <v>49</v>
      </c>
      <c r="D1412" t="s">
        <v>1336</v>
      </c>
      <c r="E1412" t="s">
        <v>1355</v>
      </c>
      <c r="F1412" t="s">
        <v>1356</v>
      </c>
      <c r="G1412">
        <v>9803963735</v>
      </c>
    </row>
    <row r="1413" spans="1:7" x14ac:dyDescent="0.3">
      <c r="A1413" t="s">
        <v>3751</v>
      </c>
      <c r="B1413" t="s">
        <v>3752</v>
      </c>
      <c r="C1413">
        <v>19</v>
      </c>
      <c r="D1413" t="s">
        <v>1328</v>
      </c>
      <c r="E1413" t="s">
        <v>1371</v>
      </c>
      <c r="F1413" t="s">
        <v>1342</v>
      </c>
      <c r="G1413">
        <v>9577210753</v>
      </c>
    </row>
    <row r="1414" spans="1:7" x14ac:dyDescent="0.3">
      <c r="A1414" t="s">
        <v>3753</v>
      </c>
      <c r="B1414" t="s">
        <v>3754</v>
      </c>
      <c r="C1414">
        <v>56</v>
      </c>
      <c r="D1414" t="s">
        <v>1336</v>
      </c>
      <c r="E1414" t="s">
        <v>1361</v>
      </c>
      <c r="F1414" t="s">
        <v>1362</v>
      </c>
      <c r="G1414">
        <v>7812146883</v>
      </c>
    </row>
    <row r="1415" spans="1:7" x14ac:dyDescent="0.3">
      <c r="A1415" t="s">
        <v>3755</v>
      </c>
      <c r="B1415" t="s">
        <v>3756</v>
      </c>
      <c r="C1415">
        <v>45</v>
      </c>
      <c r="D1415" t="s">
        <v>1328</v>
      </c>
      <c r="E1415" t="s">
        <v>1430</v>
      </c>
      <c r="F1415" t="s">
        <v>1330</v>
      </c>
      <c r="G1415">
        <v>9758887254</v>
      </c>
    </row>
    <row r="1416" spans="1:7" x14ac:dyDescent="0.3">
      <c r="A1416" t="s">
        <v>3757</v>
      </c>
      <c r="B1416" t="s">
        <v>3758</v>
      </c>
      <c r="C1416">
        <v>53</v>
      </c>
      <c r="D1416" t="s">
        <v>1328</v>
      </c>
      <c r="E1416" t="s">
        <v>1361</v>
      </c>
      <c r="F1416" t="s">
        <v>1362</v>
      </c>
      <c r="G1416">
        <v>7854326880</v>
      </c>
    </row>
    <row r="1417" spans="1:7" x14ac:dyDescent="0.3">
      <c r="A1417" t="s">
        <v>232</v>
      </c>
      <c r="B1417" t="s">
        <v>3759</v>
      </c>
      <c r="C1417">
        <v>36</v>
      </c>
      <c r="D1417" t="s">
        <v>1328</v>
      </c>
      <c r="E1417" t="s">
        <v>1408</v>
      </c>
      <c r="F1417" t="s">
        <v>1409</v>
      </c>
      <c r="G1417">
        <v>8284532512</v>
      </c>
    </row>
    <row r="1418" spans="1:7" x14ac:dyDescent="0.3">
      <c r="A1418" t="s">
        <v>501</v>
      </c>
      <c r="B1418" t="s">
        <v>3760</v>
      </c>
      <c r="C1418">
        <v>38</v>
      </c>
      <c r="D1418" t="s">
        <v>1328</v>
      </c>
      <c r="E1418" t="s">
        <v>1517</v>
      </c>
      <c r="F1418" t="s">
        <v>1362</v>
      </c>
      <c r="G1418">
        <v>9055133025</v>
      </c>
    </row>
    <row r="1419" spans="1:7" x14ac:dyDescent="0.3">
      <c r="A1419" t="s">
        <v>528</v>
      </c>
      <c r="B1419" t="s">
        <v>3761</v>
      </c>
      <c r="C1419">
        <v>47</v>
      </c>
      <c r="D1419" t="s">
        <v>1336</v>
      </c>
      <c r="E1419" t="s">
        <v>1432</v>
      </c>
      <c r="F1419" t="s">
        <v>1342</v>
      </c>
      <c r="G1419">
        <v>7852947576</v>
      </c>
    </row>
    <row r="1420" spans="1:7" x14ac:dyDescent="0.3">
      <c r="A1420" t="s">
        <v>483</v>
      </c>
      <c r="B1420" t="s">
        <v>3762</v>
      </c>
      <c r="C1420">
        <v>55</v>
      </c>
      <c r="D1420" t="s">
        <v>1336</v>
      </c>
      <c r="E1420" t="s">
        <v>1393</v>
      </c>
      <c r="F1420" t="s">
        <v>1394</v>
      </c>
      <c r="G1420">
        <v>8483128351</v>
      </c>
    </row>
    <row r="1421" spans="1:7" x14ac:dyDescent="0.3">
      <c r="A1421" t="s">
        <v>3763</v>
      </c>
      <c r="B1421" t="s">
        <v>3764</v>
      </c>
      <c r="C1421">
        <v>47</v>
      </c>
      <c r="D1421" t="s">
        <v>1328</v>
      </c>
      <c r="E1421" t="s">
        <v>1388</v>
      </c>
      <c r="F1421" t="s">
        <v>1342</v>
      </c>
      <c r="G1421">
        <v>9653856612</v>
      </c>
    </row>
    <row r="1422" spans="1:7" x14ac:dyDescent="0.3">
      <c r="A1422" t="s">
        <v>3765</v>
      </c>
      <c r="B1422" t="s">
        <v>3766</v>
      </c>
      <c r="C1422">
        <v>37</v>
      </c>
      <c r="D1422" t="s">
        <v>1328</v>
      </c>
      <c r="E1422" t="s">
        <v>1498</v>
      </c>
      <c r="F1422" t="s">
        <v>1362</v>
      </c>
      <c r="G1422">
        <v>8980510717</v>
      </c>
    </row>
    <row r="1423" spans="1:7" x14ac:dyDescent="0.3">
      <c r="A1423" t="s">
        <v>3767</v>
      </c>
      <c r="B1423" t="s">
        <v>3768</v>
      </c>
      <c r="C1423">
        <v>30</v>
      </c>
      <c r="D1423" t="s">
        <v>1328</v>
      </c>
      <c r="E1423" t="s">
        <v>1371</v>
      </c>
      <c r="F1423" t="s">
        <v>1342</v>
      </c>
      <c r="G1423">
        <v>9677103748</v>
      </c>
    </row>
    <row r="1424" spans="1:7" x14ac:dyDescent="0.3">
      <c r="A1424" t="s">
        <v>3769</v>
      </c>
      <c r="B1424" t="s">
        <v>3770</v>
      </c>
      <c r="C1424">
        <v>27</v>
      </c>
      <c r="D1424" t="s">
        <v>1328</v>
      </c>
      <c r="E1424" t="s">
        <v>1371</v>
      </c>
      <c r="F1424" t="s">
        <v>1342</v>
      </c>
      <c r="G1424">
        <v>6938667577</v>
      </c>
    </row>
    <row r="1425" spans="1:7" x14ac:dyDescent="0.3">
      <c r="A1425" t="s">
        <v>686</v>
      </c>
      <c r="B1425" t="s">
        <v>3771</v>
      </c>
      <c r="C1425">
        <v>54</v>
      </c>
      <c r="D1425" t="s">
        <v>1336</v>
      </c>
      <c r="E1425" t="s">
        <v>1341</v>
      </c>
      <c r="F1425" t="s">
        <v>1342</v>
      </c>
      <c r="G1425">
        <v>7038818260</v>
      </c>
    </row>
    <row r="1426" spans="1:7" x14ac:dyDescent="0.3">
      <c r="A1426" t="s">
        <v>3772</v>
      </c>
      <c r="B1426" t="s">
        <v>3773</v>
      </c>
      <c r="C1426">
        <v>43</v>
      </c>
      <c r="D1426" t="s">
        <v>1328</v>
      </c>
      <c r="E1426" t="s">
        <v>1832</v>
      </c>
      <c r="F1426" t="s">
        <v>1368</v>
      </c>
      <c r="G1426">
        <v>6392607232</v>
      </c>
    </row>
    <row r="1427" spans="1:7" x14ac:dyDescent="0.3">
      <c r="A1427" t="s">
        <v>3774</v>
      </c>
      <c r="B1427" t="s">
        <v>3775</v>
      </c>
      <c r="C1427">
        <v>26</v>
      </c>
      <c r="D1427" t="s">
        <v>1336</v>
      </c>
      <c r="E1427" t="s">
        <v>1456</v>
      </c>
      <c r="F1427" t="s">
        <v>1394</v>
      </c>
      <c r="G1427">
        <v>7344646667</v>
      </c>
    </row>
    <row r="1428" spans="1:7" x14ac:dyDescent="0.3">
      <c r="A1428" t="s">
        <v>3776</v>
      </c>
      <c r="B1428" t="s">
        <v>3777</v>
      </c>
      <c r="C1428">
        <v>19</v>
      </c>
      <c r="D1428" t="s">
        <v>1336</v>
      </c>
      <c r="E1428" t="s">
        <v>1517</v>
      </c>
      <c r="F1428" t="s">
        <v>1362</v>
      </c>
      <c r="G1428">
        <v>8612695988</v>
      </c>
    </row>
    <row r="1429" spans="1:7" x14ac:dyDescent="0.3">
      <c r="A1429" t="s">
        <v>325</v>
      </c>
      <c r="B1429" t="s">
        <v>3778</v>
      </c>
      <c r="C1429">
        <v>18</v>
      </c>
      <c r="D1429" t="s">
        <v>1328</v>
      </c>
      <c r="E1429" t="s">
        <v>1365</v>
      </c>
      <c r="F1429" t="s">
        <v>1352</v>
      </c>
      <c r="G1429">
        <v>8119643684</v>
      </c>
    </row>
    <row r="1430" spans="1:7" x14ac:dyDescent="0.3">
      <c r="A1430" t="s">
        <v>3779</v>
      </c>
      <c r="B1430" t="s">
        <v>3780</v>
      </c>
      <c r="C1430">
        <v>57</v>
      </c>
      <c r="D1430" t="s">
        <v>1336</v>
      </c>
      <c r="E1430" t="s">
        <v>1408</v>
      </c>
      <c r="F1430" t="s">
        <v>1409</v>
      </c>
      <c r="G1430">
        <v>6243193380</v>
      </c>
    </row>
    <row r="1431" spans="1:7" x14ac:dyDescent="0.3">
      <c r="A1431" t="s">
        <v>3781</v>
      </c>
      <c r="B1431" t="s">
        <v>3782</v>
      </c>
      <c r="C1431">
        <v>58</v>
      </c>
      <c r="D1431" t="s">
        <v>1328</v>
      </c>
      <c r="E1431" t="s">
        <v>1332</v>
      </c>
      <c r="F1431" t="s">
        <v>1333</v>
      </c>
      <c r="G1431">
        <v>7322535084</v>
      </c>
    </row>
    <row r="1432" spans="1:7" x14ac:dyDescent="0.3">
      <c r="A1432" t="s">
        <v>767</v>
      </c>
      <c r="B1432" t="s">
        <v>3783</v>
      </c>
      <c r="C1432">
        <v>30</v>
      </c>
      <c r="D1432" t="s">
        <v>1336</v>
      </c>
      <c r="E1432" t="s">
        <v>1377</v>
      </c>
      <c r="F1432" t="s">
        <v>1368</v>
      </c>
      <c r="G1432">
        <v>6006821152</v>
      </c>
    </row>
    <row r="1433" spans="1:7" x14ac:dyDescent="0.3">
      <c r="A1433" t="s">
        <v>620</v>
      </c>
      <c r="B1433" t="s">
        <v>3784</v>
      </c>
      <c r="C1433">
        <v>48</v>
      </c>
      <c r="D1433" t="s">
        <v>1336</v>
      </c>
      <c r="E1433" t="s">
        <v>1444</v>
      </c>
      <c r="F1433" t="s">
        <v>1445</v>
      </c>
      <c r="G1433">
        <v>8333478877</v>
      </c>
    </row>
    <row r="1434" spans="1:7" x14ac:dyDescent="0.3">
      <c r="A1434" t="s">
        <v>624</v>
      </c>
      <c r="B1434" t="s">
        <v>3785</v>
      </c>
      <c r="C1434">
        <v>38</v>
      </c>
      <c r="D1434" t="s">
        <v>1328</v>
      </c>
      <c r="E1434" t="s">
        <v>1655</v>
      </c>
      <c r="F1434" t="s">
        <v>1409</v>
      </c>
      <c r="G1434">
        <v>7654796273</v>
      </c>
    </row>
    <row r="1435" spans="1:7" x14ac:dyDescent="0.3">
      <c r="A1435" t="s">
        <v>323</v>
      </c>
      <c r="B1435" t="s">
        <v>3786</v>
      </c>
      <c r="C1435">
        <v>57</v>
      </c>
      <c r="D1435" t="s">
        <v>1336</v>
      </c>
      <c r="E1435" t="s">
        <v>1649</v>
      </c>
      <c r="F1435" t="s">
        <v>1391</v>
      </c>
      <c r="G1435">
        <v>6457205523</v>
      </c>
    </row>
    <row r="1436" spans="1:7" x14ac:dyDescent="0.3">
      <c r="A1436" t="s">
        <v>281</v>
      </c>
      <c r="B1436" t="s">
        <v>3787</v>
      </c>
      <c r="C1436">
        <v>63</v>
      </c>
      <c r="D1436" t="s">
        <v>1328</v>
      </c>
      <c r="E1436" t="s">
        <v>1418</v>
      </c>
      <c r="F1436" t="s">
        <v>1419</v>
      </c>
      <c r="G1436">
        <v>8308851039</v>
      </c>
    </row>
    <row r="1437" spans="1:7" x14ac:dyDescent="0.3">
      <c r="A1437" t="s">
        <v>3788</v>
      </c>
      <c r="B1437" t="s">
        <v>3789</v>
      </c>
      <c r="C1437">
        <v>22</v>
      </c>
      <c r="D1437" t="s">
        <v>1336</v>
      </c>
      <c r="E1437" t="s">
        <v>1381</v>
      </c>
      <c r="F1437" t="s">
        <v>1352</v>
      </c>
      <c r="G1437">
        <v>6414560538</v>
      </c>
    </row>
    <row r="1438" spans="1:7" x14ac:dyDescent="0.3">
      <c r="A1438" t="s">
        <v>3790</v>
      </c>
      <c r="B1438" t="s">
        <v>3791</v>
      </c>
      <c r="C1438">
        <v>27</v>
      </c>
      <c r="D1438" t="s">
        <v>1336</v>
      </c>
      <c r="E1438" t="s">
        <v>1747</v>
      </c>
      <c r="F1438" t="s">
        <v>1391</v>
      </c>
      <c r="G1438">
        <v>9745726857</v>
      </c>
    </row>
    <row r="1439" spans="1:7" x14ac:dyDescent="0.3">
      <c r="A1439" t="s">
        <v>1236</v>
      </c>
      <c r="B1439" t="s">
        <v>3792</v>
      </c>
      <c r="C1439">
        <v>32</v>
      </c>
      <c r="D1439" t="s">
        <v>1328</v>
      </c>
      <c r="E1439" t="s">
        <v>1713</v>
      </c>
      <c r="F1439" t="s">
        <v>1409</v>
      </c>
      <c r="G1439">
        <v>8649330701</v>
      </c>
    </row>
    <row r="1440" spans="1:7" x14ac:dyDescent="0.3">
      <c r="A1440" t="s">
        <v>3793</v>
      </c>
      <c r="B1440" t="s">
        <v>3794</v>
      </c>
      <c r="C1440">
        <v>54</v>
      </c>
      <c r="D1440" t="s">
        <v>1328</v>
      </c>
      <c r="E1440" t="s">
        <v>1358</v>
      </c>
      <c r="F1440" t="s">
        <v>1356</v>
      </c>
      <c r="G1440">
        <v>9892846665</v>
      </c>
    </row>
    <row r="1441" spans="1:7" x14ac:dyDescent="0.3">
      <c r="A1441" t="s">
        <v>3795</v>
      </c>
      <c r="B1441" t="s">
        <v>3796</v>
      </c>
      <c r="C1441">
        <v>43</v>
      </c>
      <c r="D1441" t="s">
        <v>1336</v>
      </c>
      <c r="E1441" t="s">
        <v>1451</v>
      </c>
      <c r="F1441" t="s">
        <v>1445</v>
      </c>
      <c r="G1441">
        <v>9452474725</v>
      </c>
    </row>
    <row r="1442" spans="1:7" x14ac:dyDescent="0.3">
      <c r="A1442" t="s">
        <v>3797</v>
      </c>
      <c r="B1442" t="s">
        <v>3798</v>
      </c>
      <c r="C1442">
        <v>46</v>
      </c>
      <c r="D1442" t="s">
        <v>1336</v>
      </c>
      <c r="E1442" t="s">
        <v>1413</v>
      </c>
      <c r="F1442" t="s">
        <v>1348</v>
      </c>
      <c r="G1442">
        <v>6233166832</v>
      </c>
    </row>
    <row r="1443" spans="1:7" x14ac:dyDescent="0.3">
      <c r="A1443" t="s">
        <v>791</v>
      </c>
      <c r="B1443" t="s">
        <v>3799</v>
      </c>
      <c r="C1443">
        <v>59</v>
      </c>
      <c r="D1443" t="s">
        <v>1336</v>
      </c>
      <c r="E1443" t="s">
        <v>1425</v>
      </c>
      <c r="F1443" t="s">
        <v>1409</v>
      </c>
      <c r="G1443">
        <v>9965321566</v>
      </c>
    </row>
    <row r="1444" spans="1:7" x14ac:dyDescent="0.3">
      <c r="A1444" t="s">
        <v>3800</v>
      </c>
      <c r="B1444" t="s">
        <v>3801</v>
      </c>
      <c r="C1444">
        <v>20</v>
      </c>
      <c r="D1444" t="s">
        <v>1328</v>
      </c>
      <c r="E1444" t="s">
        <v>1388</v>
      </c>
      <c r="F1444" t="s">
        <v>1342</v>
      </c>
      <c r="G1444">
        <v>6204923213</v>
      </c>
    </row>
    <row r="1445" spans="1:7" x14ac:dyDescent="0.3">
      <c r="A1445" t="s">
        <v>3802</v>
      </c>
      <c r="B1445" t="s">
        <v>3803</v>
      </c>
      <c r="C1445">
        <v>54</v>
      </c>
      <c r="D1445" t="s">
        <v>1336</v>
      </c>
      <c r="E1445" t="s">
        <v>1591</v>
      </c>
      <c r="F1445" t="s">
        <v>1352</v>
      </c>
      <c r="G1445">
        <v>8561039474</v>
      </c>
    </row>
    <row r="1446" spans="1:7" x14ac:dyDescent="0.3">
      <c r="A1446" t="s">
        <v>3804</v>
      </c>
      <c r="B1446" t="s">
        <v>3805</v>
      </c>
      <c r="C1446">
        <v>37</v>
      </c>
      <c r="D1446" t="s">
        <v>1336</v>
      </c>
      <c r="E1446" t="s">
        <v>1649</v>
      </c>
      <c r="F1446" t="s">
        <v>1391</v>
      </c>
      <c r="G1446">
        <v>8984163938</v>
      </c>
    </row>
    <row r="1447" spans="1:7" x14ac:dyDescent="0.3">
      <c r="A1447" t="s">
        <v>1034</v>
      </c>
      <c r="B1447" t="s">
        <v>3806</v>
      </c>
      <c r="C1447">
        <v>60</v>
      </c>
      <c r="D1447" t="s">
        <v>1328</v>
      </c>
      <c r="E1447" t="s">
        <v>1374</v>
      </c>
      <c r="F1447" t="s">
        <v>1348</v>
      </c>
      <c r="G1447">
        <v>8594490998</v>
      </c>
    </row>
    <row r="1448" spans="1:7" x14ac:dyDescent="0.3">
      <c r="A1448" t="s">
        <v>3807</v>
      </c>
      <c r="B1448" t="s">
        <v>3808</v>
      </c>
      <c r="C1448">
        <v>42</v>
      </c>
      <c r="D1448" t="s">
        <v>1328</v>
      </c>
      <c r="E1448" t="s">
        <v>1463</v>
      </c>
      <c r="F1448" t="s">
        <v>1391</v>
      </c>
      <c r="G1448">
        <v>8142358773</v>
      </c>
    </row>
    <row r="1449" spans="1:7" x14ac:dyDescent="0.3">
      <c r="A1449" t="s">
        <v>3809</v>
      </c>
      <c r="B1449" t="s">
        <v>3810</v>
      </c>
      <c r="C1449">
        <v>56</v>
      </c>
      <c r="D1449" t="s">
        <v>1328</v>
      </c>
      <c r="E1449" t="s">
        <v>1463</v>
      </c>
      <c r="F1449" t="s">
        <v>1391</v>
      </c>
      <c r="G1449">
        <v>8933420562</v>
      </c>
    </row>
    <row r="1450" spans="1:7" x14ac:dyDescent="0.3">
      <c r="A1450" t="s">
        <v>930</v>
      </c>
      <c r="B1450" t="s">
        <v>3811</v>
      </c>
      <c r="C1450">
        <v>37</v>
      </c>
      <c r="D1450" t="s">
        <v>1336</v>
      </c>
      <c r="E1450" t="s">
        <v>1517</v>
      </c>
      <c r="F1450" t="s">
        <v>1362</v>
      </c>
      <c r="G1450">
        <v>9124789373</v>
      </c>
    </row>
    <row r="1451" spans="1:7" x14ac:dyDescent="0.3">
      <c r="A1451" t="s">
        <v>3812</v>
      </c>
      <c r="B1451" t="s">
        <v>3813</v>
      </c>
      <c r="C1451">
        <v>65</v>
      </c>
      <c r="D1451" t="s">
        <v>1328</v>
      </c>
      <c r="E1451" t="s">
        <v>1451</v>
      </c>
      <c r="F1451" t="s">
        <v>1445</v>
      </c>
      <c r="G1451">
        <v>6603859192</v>
      </c>
    </row>
    <row r="1452" spans="1:7" x14ac:dyDescent="0.3">
      <c r="A1452" t="s">
        <v>3814</v>
      </c>
      <c r="B1452" t="s">
        <v>3815</v>
      </c>
      <c r="C1452">
        <v>18</v>
      </c>
      <c r="D1452" t="s">
        <v>1328</v>
      </c>
      <c r="E1452" t="s">
        <v>1358</v>
      </c>
      <c r="F1452" t="s">
        <v>1356</v>
      </c>
      <c r="G1452">
        <v>8904089319</v>
      </c>
    </row>
    <row r="1453" spans="1:7" x14ac:dyDescent="0.3">
      <c r="A1453" t="s">
        <v>3816</v>
      </c>
      <c r="B1453" t="s">
        <v>3817</v>
      </c>
      <c r="C1453">
        <v>64</v>
      </c>
      <c r="D1453" t="s">
        <v>1328</v>
      </c>
      <c r="E1453" t="s">
        <v>1747</v>
      </c>
      <c r="F1453" t="s">
        <v>1391</v>
      </c>
      <c r="G1453">
        <v>8588344094</v>
      </c>
    </row>
    <row r="1454" spans="1:7" x14ac:dyDescent="0.3">
      <c r="A1454" t="s">
        <v>3818</v>
      </c>
      <c r="B1454" t="s">
        <v>3819</v>
      </c>
      <c r="C1454">
        <v>52</v>
      </c>
      <c r="D1454" t="s">
        <v>1328</v>
      </c>
      <c r="E1454" t="s">
        <v>1501</v>
      </c>
      <c r="F1454" t="s">
        <v>1394</v>
      </c>
      <c r="G1454">
        <v>9240032003</v>
      </c>
    </row>
    <row r="1455" spans="1:7" x14ac:dyDescent="0.3">
      <c r="A1455" t="s">
        <v>415</v>
      </c>
      <c r="B1455" t="s">
        <v>3820</v>
      </c>
      <c r="C1455">
        <v>21</v>
      </c>
      <c r="D1455" t="s">
        <v>1336</v>
      </c>
      <c r="E1455" t="s">
        <v>1430</v>
      </c>
      <c r="F1455" t="s">
        <v>1330</v>
      </c>
      <c r="G1455">
        <v>6533706528</v>
      </c>
    </row>
    <row r="1456" spans="1:7" x14ac:dyDescent="0.3">
      <c r="A1456" t="s">
        <v>3821</v>
      </c>
      <c r="B1456" t="s">
        <v>3822</v>
      </c>
      <c r="C1456">
        <v>60</v>
      </c>
      <c r="D1456" t="s">
        <v>1336</v>
      </c>
      <c r="E1456" t="s">
        <v>1425</v>
      </c>
      <c r="F1456" t="s">
        <v>1409</v>
      </c>
      <c r="G1456">
        <v>6134875561</v>
      </c>
    </row>
    <row r="1457" spans="1:7" x14ac:dyDescent="0.3">
      <c r="A1457" t="s">
        <v>3823</v>
      </c>
      <c r="B1457" t="s">
        <v>3824</v>
      </c>
      <c r="C1457">
        <v>32</v>
      </c>
      <c r="D1457" t="s">
        <v>1336</v>
      </c>
      <c r="E1457" t="s">
        <v>1341</v>
      </c>
      <c r="F1457" t="s">
        <v>1342</v>
      </c>
      <c r="G1457">
        <v>6862984709</v>
      </c>
    </row>
    <row r="1458" spans="1:7" x14ac:dyDescent="0.3">
      <c r="A1458" t="s">
        <v>3825</v>
      </c>
      <c r="B1458" t="s">
        <v>3826</v>
      </c>
      <c r="C1458">
        <v>37</v>
      </c>
      <c r="D1458" t="s">
        <v>1336</v>
      </c>
      <c r="E1458" t="s">
        <v>1602</v>
      </c>
      <c r="F1458" t="s">
        <v>1400</v>
      </c>
      <c r="G1458">
        <v>6201701958</v>
      </c>
    </row>
    <row r="1459" spans="1:7" x14ac:dyDescent="0.3">
      <c r="A1459" t="s">
        <v>3827</v>
      </c>
      <c r="B1459" t="s">
        <v>3828</v>
      </c>
      <c r="C1459">
        <v>42</v>
      </c>
      <c r="D1459" t="s">
        <v>1336</v>
      </c>
      <c r="E1459" t="s">
        <v>1337</v>
      </c>
      <c r="F1459" t="s">
        <v>1338</v>
      </c>
      <c r="G1459">
        <v>9557486396</v>
      </c>
    </row>
    <row r="1460" spans="1:7" x14ac:dyDescent="0.3">
      <c r="A1460" t="s">
        <v>3829</v>
      </c>
      <c r="B1460" t="s">
        <v>3830</v>
      </c>
      <c r="C1460">
        <v>23</v>
      </c>
      <c r="D1460" t="s">
        <v>1328</v>
      </c>
      <c r="E1460" t="s">
        <v>1511</v>
      </c>
      <c r="F1460" t="s">
        <v>1419</v>
      </c>
      <c r="G1460">
        <v>9789823309</v>
      </c>
    </row>
    <row r="1461" spans="1:7" x14ac:dyDescent="0.3">
      <c r="A1461" t="s">
        <v>3831</v>
      </c>
      <c r="B1461" t="s">
        <v>3832</v>
      </c>
      <c r="C1461">
        <v>32</v>
      </c>
      <c r="D1461" t="s">
        <v>1336</v>
      </c>
      <c r="E1461" t="s">
        <v>1542</v>
      </c>
      <c r="F1461" t="s">
        <v>1409</v>
      </c>
      <c r="G1461">
        <v>6419246468</v>
      </c>
    </row>
    <row r="1462" spans="1:7" x14ac:dyDescent="0.3">
      <c r="A1462" t="s">
        <v>3833</v>
      </c>
      <c r="B1462" t="s">
        <v>3834</v>
      </c>
      <c r="C1462">
        <v>54</v>
      </c>
      <c r="D1462" t="s">
        <v>1336</v>
      </c>
      <c r="E1462" t="s">
        <v>1713</v>
      </c>
      <c r="F1462" t="s">
        <v>1409</v>
      </c>
      <c r="G1462">
        <v>6389412123</v>
      </c>
    </row>
    <row r="1463" spans="1:7" x14ac:dyDescent="0.3">
      <c r="A1463" t="s">
        <v>3835</v>
      </c>
      <c r="B1463" t="s">
        <v>3836</v>
      </c>
      <c r="C1463">
        <v>41</v>
      </c>
      <c r="D1463" t="s">
        <v>1328</v>
      </c>
      <c r="E1463" t="s">
        <v>1347</v>
      </c>
      <c r="F1463" t="s">
        <v>1348</v>
      </c>
      <c r="G1463">
        <v>7962844449</v>
      </c>
    </row>
    <row r="1464" spans="1:7" x14ac:dyDescent="0.3">
      <c r="A1464" t="s">
        <v>3837</v>
      </c>
      <c r="B1464" t="s">
        <v>3838</v>
      </c>
      <c r="C1464">
        <v>36</v>
      </c>
      <c r="D1464" t="s">
        <v>1328</v>
      </c>
      <c r="E1464" t="s">
        <v>1425</v>
      </c>
      <c r="F1464" t="s">
        <v>1409</v>
      </c>
      <c r="G1464">
        <v>9006449331</v>
      </c>
    </row>
    <row r="1465" spans="1:7" x14ac:dyDescent="0.3">
      <c r="A1465" t="s">
        <v>3839</v>
      </c>
      <c r="B1465" t="s">
        <v>3840</v>
      </c>
      <c r="C1465">
        <v>30</v>
      </c>
      <c r="D1465" t="s">
        <v>1328</v>
      </c>
      <c r="E1465" t="s">
        <v>1649</v>
      </c>
      <c r="F1465" t="s">
        <v>1391</v>
      </c>
      <c r="G1465">
        <v>8860989578</v>
      </c>
    </row>
    <row r="1466" spans="1:7" x14ac:dyDescent="0.3">
      <c r="A1466" t="s">
        <v>3841</v>
      </c>
      <c r="B1466" t="s">
        <v>3842</v>
      </c>
      <c r="C1466">
        <v>25</v>
      </c>
      <c r="D1466" t="s">
        <v>1336</v>
      </c>
      <c r="E1466" t="s">
        <v>1770</v>
      </c>
      <c r="F1466" t="s">
        <v>1400</v>
      </c>
      <c r="G1466">
        <v>7402950386</v>
      </c>
    </row>
    <row r="1467" spans="1:7" x14ac:dyDescent="0.3">
      <c r="A1467" t="s">
        <v>3843</v>
      </c>
      <c r="B1467" t="s">
        <v>3844</v>
      </c>
      <c r="C1467">
        <v>45</v>
      </c>
      <c r="D1467" t="s">
        <v>1336</v>
      </c>
      <c r="E1467" t="s">
        <v>1432</v>
      </c>
      <c r="F1467" t="s">
        <v>1342</v>
      </c>
      <c r="G1467">
        <v>9534594775</v>
      </c>
    </row>
    <row r="1468" spans="1:7" x14ac:dyDescent="0.3">
      <c r="A1468" t="s">
        <v>3845</v>
      </c>
      <c r="B1468" t="s">
        <v>3846</v>
      </c>
      <c r="C1468">
        <v>46</v>
      </c>
      <c r="D1468" t="s">
        <v>1328</v>
      </c>
      <c r="E1468" t="s">
        <v>1498</v>
      </c>
      <c r="F1468" t="s">
        <v>1362</v>
      </c>
      <c r="G1468">
        <v>6938268523</v>
      </c>
    </row>
    <row r="1469" spans="1:7" x14ac:dyDescent="0.3">
      <c r="A1469" t="s">
        <v>799</v>
      </c>
      <c r="B1469" t="s">
        <v>3847</v>
      </c>
      <c r="C1469">
        <v>34</v>
      </c>
      <c r="D1469" t="s">
        <v>1328</v>
      </c>
      <c r="E1469" t="s">
        <v>1637</v>
      </c>
      <c r="F1469" t="s">
        <v>1368</v>
      </c>
      <c r="G1469">
        <v>7867726820</v>
      </c>
    </row>
    <row r="1470" spans="1:7" x14ac:dyDescent="0.3">
      <c r="A1470" t="s">
        <v>839</v>
      </c>
      <c r="B1470" t="s">
        <v>3848</v>
      </c>
      <c r="C1470">
        <v>49</v>
      </c>
      <c r="D1470" t="s">
        <v>1328</v>
      </c>
      <c r="E1470" t="s">
        <v>1413</v>
      </c>
      <c r="F1470" t="s">
        <v>1348</v>
      </c>
      <c r="G1470">
        <v>6143696413</v>
      </c>
    </row>
    <row r="1471" spans="1:7" x14ac:dyDescent="0.3">
      <c r="A1471" t="s">
        <v>3849</v>
      </c>
      <c r="B1471" t="s">
        <v>3850</v>
      </c>
      <c r="C1471">
        <v>18</v>
      </c>
      <c r="D1471" t="s">
        <v>1328</v>
      </c>
      <c r="E1471" t="s">
        <v>1483</v>
      </c>
      <c r="F1471" t="s">
        <v>1368</v>
      </c>
      <c r="G1471">
        <v>6840276608</v>
      </c>
    </row>
    <row r="1472" spans="1:7" x14ac:dyDescent="0.3">
      <c r="A1472" t="s">
        <v>3851</v>
      </c>
      <c r="B1472" t="s">
        <v>3852</v>
      </c>
      <c r="C1472">
        <v>45</v>
      </c>
      <c r="D1472" t="s">
        <v>1328</v>
      </c>
      <c r="E1472" t="s">
        <v>1542</v>
      </c>
      <c r="F1472" t="s">
        <v>1409</v>
      </c>
      <c r="G1472">
        <v>9844617195</v>
      </c>
    </row>
    <row r="1473" spans="1:7" x14ac:dyDescent="0.3">
      <c r="A1473" t="s">
        <v>342</v>
      </c>
      <c r="B1473" t="s">
        <v>3853</v>
      </c>
      <c r="C1473">
        <v>49</v>
      </c>
      <c r="D1473" t="s">
        <v>1336</v>
      </c>
      <c r="E1473" t="s">
        <v>1329</v>
      </c>
      <c r="F1473" t="s">
        <v>1330</v>
      </c>
      <c r="G1473">
        <v>8314155289</v>
      </c>
    </row>
    <row r="1474" spans="1:7" x14ac:dyDescent="0.3">
      <c r="A1474" t="s">
        <v>1156</v>
      </c>
      <c r="B1474" t="s">
        <v>3854</v>
      </c>
      <c r="C1474">
        <v>48</v>
      </c>
      <c r="D1474" t="s">
        <v>1328</v>
      </c>
      <c r="E1474" t="s">
        <v>1466</v>
      </c>
      <c r="F1474" t="s">
        <v>1338</v>
      </c>
      <c r="G1474">
        <v>9190595393</v>
      </c>
    </row>
    <row r="1475" spans="1:7" x14ac:dyDescent="0.3">
      <c r="A1475" t="s">
        <v>3855</v>
      </c>
      <c r="B1475" t="s">
        <v>3856</v>
      </c>
      <c r="C1475">
        <v>21</v>
      </c>
      <c r="D1475" t="s">
        <v>1328</v>
      </c>
      <c r="E1475" t="s">
        <v>1845</v>
      </c>
      <c r="F1475" t="s">
        <v>1330</v>
      </c>
      <c r="G1475">
        <v>9797826514</v>
      </c>
    </row>
    <row r="1476" spans="1:7" x14ac:dyDescent="0.3">
      <c r="A1476" t="s">
        <v>3857</v>
      </c>
      <c r="B1476" t="s">
        <v>3858</v>
      </c>
      <c r="C1476">
        <v>59</v>
      </c>
      <c r="D1476" t="s">
        <v>1336</v>
      </c>
      <c r="E1476" t="s">
        <v>1655</v>
      </c>
      <c r="F1476" t="s">
        <v>1409</v>
      </c>
      <c r="G1476">
        <v>9365269771</v>
      </c>
    </row>
    <row r="1477" spans="1:7" x14ac:dyDescent="0.3">
      <c r="A1477" t="s">
        <v>3859</v>
      </c>
      <c r="B1477" t="s">
        <v>3860</v>
      </c>
      <c r="C1477">
        <v>49</v>
      </c>
      <c r="D1477" t="s">
        <v>1328</v>
      </c>
      <c r="E1477" t="s">
        <v>1563</v>
      </c>
      <c r="F1477" t="s">
        <v>1356</v>
      </c>
      <c r="G1477">
        <v>9936311610</v>
      </c>
    </row>
    <row r="1478" spans="1:7" x14ac:dyDescent="0.3">
      <c r="A1478" t="s">
        <v>3861</v>
      </c>
      <c r="B1478" t="s">
        <v>3862</v>
      </c>
      <c r="C1478">
        <v>60</v>
      </c>
      <c r="D1478" t="s">
        <v>1328</v>
      </c>
      <c r="E1478" t="s">
        <v>1563</v>
      </c>
      <c r="F1478" t="s">
        <v>1356</v>
      </c>
      <c r="G1478">
        <v>7649393961</v>
      </c>
    </row>
    <row r="1479" spans="1:7" x14ac:dyDescent="0.3">
      <c r="A1479" t="s">
        <v>966</v>
      </c>
      <c r="B1479" t="s">
        <v>3863</v>
      </c>
      <c r="C1479">
        <v>53</v>
      </c>
      <c r="D1479" t="s">
        <v>1328</v>
      </c>
      <c r="E1479" t="s">
        <v>1456</v>
      </c>
      <c r="F1479" t="s">
        <v>1394</v>
      </c>
      <c r="G1479">
        <v>6131087983</v>
      </c>
    </row>
    <row r="1480" spans="1:7" x14ac:dyDescent="0.3">
      <c r="A1480" t="s">
        <v>3864</v>
      </c>
      <c r="B1480" t="s">
        <v>3865</v>
      </c>
      <c r="C1480">
        <v>34</v>
      </c>
      <c r="D1480" t="s">
        <v>1336</v>
      </c>
      <c r="E1480" t="s">
        <v>1347</v>
      </c>
      <c r="F1480" t="s">
        <v>1348</v>
      </c>
      <c r="G1480">
        <v>8095899248</v>
      </c>
    </row>
    <row r="1481" spans="1:7" x14ac:dyDescent="0.3">
      <c r="A1481" t="s">
        <v>865</v>
      </c>
      <c r="B1481" t="s">
        <v>3866</v>
      </c>
      <c r="C1481">
        <v>49</v>
      </c>
      <c r="D1481" t="s">
        <v>1336</v>
      </c>
      <c r="E1481" t="s">
        <v>1815</v>
      </c>
      <c r="F1481" t="s">
        <v>1400</v>
      </c>
      <c r="G1481">
        <v>6374999138</v>
      </c>
    </row>
    <row r="1482" spans="1:7" x14ac:dyDescent="0.3">
      <c r="A1482" t="s">
        <v>3867</v>
      </c>
      <c r="B1482" t="s">
        <v>3868</v>
      </c>
      <c r="C1482">
        <v>59</v>
      </c>
      <c r="D1482" t="s">
        <v>1336</v>
      </c>
      <c r="E1482" t="s">
        <v>1649</v>
      </c>
      <c r="F1482" t="s">
        <v>1391</v>
      </c>
      <c r="G1482">
        <v>9262235934</v>
      </c>
    </row>
    <row r="1483" spans="1:7" x14ac:dyDescent="0.3">
      <c r="A1483" t="s">
        <v>3869</v>
      </c>
      <c r="B1483" t="s">
        <v>3870</v>
      </c>
      <c r="C1483">
        <v>58</v>
      </c>
      <c r="D1483" t="s">
        <v>1336</v>
      </c>
      <c r="E1483" t="s">
        <v>1365</v>
      </c>
      <c r="F1483" t="s">
        <v>1352</v>
      </c>
      <c r="G1483">
        <v>8052861323</v>
      </c>
    </row>
    <row r="1484" spans="1:7" x14ac:dyDescent="0.3">
      <c r="A1484" t="s">
        <v>3871</v>
      </c>
      <c r="B1484" t="s">
        <v>3872</v>
      </c>
      <c r="C1484">
        <v>23</v>
      </c>
      <c r="D1484" t="s">
        <v>1336</v>
      </c>
      <c r="E1484" t="s">
        <v>1713</v>
      </c>
      <c r="F1484" t="s">
        <v>1409</v>
      </c>
      <c r="G1484">
        <v>6462998654</v>
      </c>
    </row>
    <row r="1485" spans="1:7" x14ac:dyDescent="0.3">
      <c r="A1485" t="s">
        <v>1280</v>
      </c>
      <c r="B1485" t="s">
        <v>3873</v>
      </c>
      <c r="C1485">
        <v>29</v>
      </c>
      <c r="D1485" t="s">
        <v>1328</v>
      </c>
      <c r="E1485" t="s">
        <v>1475</v>
      </c>
      <c r="F1485" t="s">
        <v>1419</v>
      </c>
      <c r="G1485">
        <v>7474607281</v>
      </c>
    </row>
    <row r="1486" spans="1:7" x14ac:dyDescent="0.3">
      <c r="A1486" t="s">
        <v>3874</v>
      </c>
      <c r="B1486" t="s">
        <v>3875</v>
      </c>
      <c r="C1486">
        <v>30</v>
      </c>
      <c r="D1486" t="s">
        <v>1336</v>
      </c>
      <c r="E1486" t="s">
        <v>1399</v>
      </c>
      <c r="F1486" t="s">
        <v>1400</v>
      </c>
      <c r="G1486">
        <v>9300866228</v>
      </c>
    </row>
    <row r="1487" spans="1:7" x14ac:dyDescent="0.3">
      <c r="A1487" t="s">
        <v>3876</v>
      </c>
      <c r="B1487" t="s">
        <v>3877</v>
      </c>
      <c r="C1487">
        <v>42</v>
      </c>
      <c r="D1487" t="s">
        <v>1328</v>
      </c>
      <c r="E1487" t="s">
        <v>1602</v>
      </c>
      <c r="F1487" t="s">
        <v>1400</v>
      </c>
      <c r="G1487">
        <v>7614155347</v>
      </c>
    </row>
    <row r="1488" spans="1:7" x14ac:dyDescent="0.3">
      <c r="A1488" t="s">
        <v>3878</v>
      </c>
      <c r="B1488" t="s">
        <v>3879</v>
      </c>
      <c r="C1488">
        <v>30</v>
      </c>
      <c r="D1488" t="s">
        <v>1336</v>
      </c>
      <c r="E1488" t="s">
        <v>1444</v>
      </c>
      <c r="F1488" t="s">
        <v>1445</v>
      </c>
      <c r="G1488">
        <v>7757470252</v>
      </c>
    </row>
    <row r="1489" spans="1:7" x14ac:dyDescent="0.3">
      <c r="A1489" t="s">
        <v>3880</v>
      </c>
      <c r="B1489" t="s">
        <v>3881</v>
      </c>
      <c r="C1489">
        <v>37</v>
      </c>
      <c r="D1489" t="s">
        <v>1328</v>
      </c>
      <c r="E1489" t="s">
        <v>1466</v>
      </c>
      <c r="F1489" t="s">
        <v>1338</v>
      </c>
      <c r="G1489">
        <v>9579719345</v>
      </c>
    </row>
    <row r="1490" spans="1:7" x14ac:dyDescent="0.3">
      <c r="A1490" t="s">
        <v>3882</v>
      </c>
      <c r="B1490" t="s">
        <v>3883</v>
      </c>
      <c r="C1490">
        <v>26</v>
      </c>
      <c r="D1490" t="s">
        <v>1328</v>
      </c>
      <c r="E1490" t="s">
        <v>1422</v>
      </c>
      <c r="F1490" t="s">
        <v>1330</v>
      </c>
      <c r="G1490">
        <v>8449218168</v>
      </c>
    </row>
    <row r="1491" spans="1:7" x14ac:dyDescent="0.3">
      <c r="A1491" t="s">
        <v>3884</v>
      </c>
      <c r="B1491" t="s">
        <v>3885</v>
      </c>
      <c r="C1491">
        <v>53</v>
      </c>
      <c r="D1491" t="s">
        <v>1328</v>
      </c>
      <c r="E1491" t="s">
        <v>1393</v>
      </c>
      <c r="F1491" t="s">
        <v>1394</v>
      </c>
      <c r="G1491">
        <v>9272621001</v>
      </c>
    </row>
    <row r="1492" spans="1:7" x14ac:dyDescent="0.3">
      <c r="A1492" t="s">
        <v>3886</v>
      </c>
      <c r="B1492" t="s">
        <v>3887</v>
      </c>
      <c r="C1492">
        <v>25</v>
      </c>
      <c r="D1492" t="s">
        <v>1328</v>
      </c>
      <c r="E1492" t="s">
        <v>1637</v>
      </c>
      <c r="F1492" t="s">
        <v>1368</v>
      </c>
      <c r="G1492">
        <v>7922701299</v>
      </c>
    </row>
    <row r="1493" spans="1:7" x14ac:dyDescent="0.3">
      <c r="A1493" t="s">
        <v>3888</v>
      </c>
      <c r="B1493" t="s">
        <v>3889</v>
      </c>
      <c r="C1493">
        <v>63</v>
      </c>
      <c r="D1493" t="s">
        <v>1328</v>
      </c>
      <c r="E1493" t="s">
        <v>1341</v>
      </c>
      <c r="F1493" t="s">
        <v>1342</v>
      </c>
      <c r="G1493">
        <v>9808491700</v>
      </c>
    </row>
    <row r="1494" spans="1:7" x14ac:dyDescent="0.3">
      <c r="A1494" t="s">
        <v>3890</v>
      </c>
      <c r="B1494" t="s">
        <v>3891</v>
      </c>
      <c r="C1494">
        <v>36</v>
      </c>
      <c r="D1494" t="s">
        <v>1328</v>
      </c>
      <c r="E1494" t="s">
        <v>1770</v>
      </c>
      <c r="F1494" t="s">
        <v>1400</v>
      </c>
      <c r="G1494">
        <v>9385878610</v>
      </c>
    </row>
    <row r="1495" spans="1:7" x14ac:dyDescent="0.3">
      <c r="A1495" t="s">
        <v>3892</v>
      </c>
      <c r="B1495" t="s">
        <v>3893</v>
      </c>
      <c r="C1495">
        <v>19</v>
      </c>
      <c r="D1495" t="s">
        <v>1336</v>
      </c>
      <c r="E1495" t="s">
        <v>1381</v>
      </c>
      <c r="F1495" t="s">
        <v>1352</v>
      </c>
      <c r="G1495">
        <v>6818974328</v>
      </c>
    </row>
    <row r="1496" spans="1:7" x14ac:dyDescent="0.3">
      <c r="A1496" t="s">
        <v>3894</v>
      </c>
      <c r="B1496" t="s">
        <v>3895</v>
      </c>
      <c r="C1496">
        <v>33</v>
      </c>
      <c r="D1496" t="s">
        <v>1328</v>
      </c>
      <c r="E1496" t="s">
        <v>1511</v>
      </c>
      <c r="F1496" t="s">
        <v>1419</v>
      </c>
      <c r="G1496">
        <v>6540790818</v>
      </c>
    </row>
    <row r="1497" spans="1:7" x14ac:dyDescent="0.3">
      <c r="A1497" t="s">
        <v>1184</v>
      </c>
      <c r="B1497" t="s">
        <v>3896</v>
      </c>
      <c r="C1497">
        <v>37</v>
      </c>
      <c r="D1497" t="s">
        <v>1328</v>
      </c>
      <c r="E1497" t="s">
        <v>1542</v>
      </c>
      <c r="F1497" t="s">
        <v>1409</v>
      </c>
      <c r="G1497">
        <v>6461904530</v>
      </c>
    </row>
    <row r="1498" spans="1:7" x14ac:dyDescent="0.3">
      <c r="A1498" t="s">
        <v>3897</v>
      </c>
      <c r="B1498" t="s">
        <v>3898</v>
      </c>
      <c r="C1498">
        <v>33</v>
      </c>
      <c r="D1498" t="s">
        <v>1328</v>
      </c>
      <c r="E1498" t="s">
        <v>1668</v>
      </c>
      <c r="F1498" t="s">
        <v>1445</v>
      </c>
      <c r="G1498">
        <v>7449774079</v>
      </c>
    </row>
    <row r="1499" spans="1:7" x14ac:dyDescent="0.3">
      <c r="A1499" t="s">
        <v>3899</v>
      </c>
      <c r="B1499" t="s">
        <v>3900</v>
      </c>
      <c r="C1499">
        <v>55</v>
      </c>
      <c r="D1499" t="s">
        <v>1336</v>
      </c>
      <c r="E1499" t="s">
        <v>1418</v>
      </c>
      <c r="F1499" t="s">
        <v>1419</v>
      </c>
      <c r="G1499">
        <v>7585619241</v>
      </c>
    </row>
    <row r="1500" spans="1:7" x14ac:dyDescent="0.3">
      <c r="A1500" t="s">
        <v>3901</v>
      </c>
      <c r="B1500" t="s">
        <v>3902</v>
      </c>
      <c r="C1500">
        <v>20</v>
      </c>
      <c r="D1500" t="s">
        <v>1328</v>
      </c>
      <c r="E1500" t="s">
        <v>1563</v>
      </c>
      <c r="F1500" t="s">
        <v>1356</v>
      </c>
      <c r="G1500">
        <v>6092972142</v>
      </c>
    </row>
    <row r="1501" spans="1:7" x14ac:dyDescent="0.3">
      <c r="A1501" t="s">
        <v>1026</v>
      </c>
      <c r="B1501" t="s">
        <v>3903</v>
      </c>
      <c r="C1501">
        <v>23</v>
      </c>
      <c r="D1501" t="s">
        <v>1328</v>
      </c>
      <c r="E1501" t="s">
        <v>1649</v>
      </c>
      <c r="F1501" t="s">
        <v>1391</v>
      </c>
      <c r="G1501">
        <v>9505639795</v>
      </c>
    </row>
    <row r="1502" spans="1:7" x14ac:dyDescent="0.3">
      <c r="A1502" t="s">
        <v>3904</v>
      </c>
      <c r="B1502" t="s">
        <v>3905</v>
      </c>
      <c r="C1502">
        <v>38</v>
      </c>
      <c r="D1502" t="s">
        <v>1328</v>
      </c>
      <c r="E1502" t="s">
        <v>1399</v>
      </c>
      <c r="F1502" t="s">
        <v>1400</v>
      </c>
      <c r="G1502">
        <v>8349818566</v>
      </c>
    </row>
    <row r="1503" spans="1:7" x14ac:dyDescent="0.3">
      <c r="A1503" t="s">
        <v>3906</v>
      </c>
      <c r="B1503" t="s">
        <v>3907</v>
      </c>
      <c r="C1503">
        <v>49</v>
      </c>
      <c r="D1503" t="s">
        <v>1336</v>
      </c>
      <c r="E1503" t="s">
        <v>1475</v>
      </c>
      <c r="F1503" t="s">
        <v>1419</v>
      </c>
      <c r="G1503">
        <v>6558553960</v>
      </c>
    </row>
    <row r="1504" spans="1:7" x14ac:dyDescent="0.3">
      <c r="A1504" t="s">
        <v>3908</v>
      </c>
      <c r="B1504" t="s">
        <v>3909</v>
      </c>
      <c r="C1504">
        <v>18</v>
      </c>
      <c r="D1504" t="s">
        <v>1328</v>
      </c>
      <c r="E1504" t="s">
        <v>1358</v>
      </c>
      <c r="F1504" t="s">
        <v>1356</v>
      </c>
      <c r="G1504">
        <v>8312581166</v>
      </c>
    </row>
    <row r="1505" spans="1:7" x14ac:dyDescent="0.3">
      <c r="A1505" t="s">
        <v>521</v>
      </c>
      <c r="B1505" t="s">
        <v>3910</v>
      </c>
      <c r="C1505">
        <v>57</v>
      </c>
      <c r="D1505" t="s">
        <v>1336</v>
      </c>
      <c r="E1505" t="s">
        <v>1411</v>
      </c>
      <c r="F1505" t="s">
        <v>1356</v>
      </c>
      <c r="G1505">
        <v>8125505706</v>
      </c>
    </row>
    <row r="1506" spans="1:7" x14ac:dyDescent="0.3">
      <c r="A1506" t="s">
        <v>3911</v>
      </c>
      <c r="B1506" t="s">
        <v>3912</v>
      </c>
      <c r="C1506">
        <v>59</v>
      </c>
      <c r="D1506" t="s">
        <v>1336</v>
      </c>
      <c r="E1506" t="s">
        <v>1556</v>
      </c>
      <c r="F1506" t="s">
        <v>1333</v>
      </c>
      <c r="G1506">
        <v>7343454317</v>
      </c>
    </row>
    <row r="1507" spans="1:7" x14ac:dyDescent="0.3">
      <c r="A1507" t="s">
        <v>347</v>
      </c>
      <c r="B1507" t="s">
        <v>3913</v>
      </c>
      <c r="C1507">
        <v>61</v>
      </c>
      <c r="D1507" t="s">
        <v>1328</v>
      </c>
      <c r="E1507" t="s">
        <v>1498</v>
      </c>
      <c r="F1507" t="s">
        <v>1362</v>
      </c>
      <c r="G1507">
        <v>6074784569</v>
      </c>
    </row>
    <row r="1508" spans="1:7" x14ac:dyDescent="0.3">
      <c r="A1508" t="s">
        <v>3914</v>
      </c>
      <c r="B1508" t="s">
        <v>3915</v>
      </c>
      <c r="C1508">
        <v>18</v>
      </c>
      <c r="D1508" t="s">
        <v>1328</v>
      </c>
      <c r="E1508" t="s">
        <v>1456</v>
      </c>
      <c r="F1508" t="s">
        <v>1394</v>
      </c>
      <c r="G1508">
        <v>7015551678</v>
      </c>
    </row>
    <row r="1509" spans="1:7" x14ac:dyDescent="0.3">
      <c r="A1509" t="s">
        <v>167</v>
      </c>
      <c r="B1509" t="s">
        <v>3916</v>
      </c>
      <c r="C1509">
        <v>30</v>
      </c>
      <c r="D1509" t="s">
        <v>1336</v>
      </c>
      <c r="E1509" t="s">
        <v>1386</v>
      </c>
      <c r="F1509" t="s">
        <v>1338</v>
      </c>
      <c r="G1509">
        <v>7985138492</v>
      </c>
    </row>
    <row r="1510" spans="1:7" x14ac:dyDescent="0.3">
      <c r="A1510" t="s">
        <v>3917</v>
      </c>
      <c r="B1510" t="s">
        <v>3918</v>
      </c>
      <c r="C1510">
        <v>27</v>
      </c>
      <c r="D1510" t="s">
        <v>1328</v>
      </c>
      <c r="E1510" t="s">
        <v>1329</v>
      </c>
      <c r="F1510" t="s">
        <v>1330</v>
      </c>
      <c r="G1510">
        <v>7993559738</v>
      </c>
    </row>
    <row r="1511" spans="1:7" x14ac:dyDescent="0.3">
      <c r="A1511" t="s">
        <v>3919</v>
      </c>
      <c r="B1511" t="s">
        <v>3920</v>
      </c>
      <c r="C1511">
        <v>59</v>
      </c>
      <c r="D1511" t="s">
        <v>1328</v>
      </c>
      <c r="E1511" t="s">
        <v>1498</v>
      </c>
      <c r="F1511" t="s">
        <v>1362</v>
      </c>
      <c r="G1511">
        <v>9199774912</v>
      </c>
    </row>
    <row r="1512" spans="1:7" x14ac:dyDescent="0.3">
      <c r="A1512" t="s">
        <v>3921</v>
      </c>
      <c r="B1512" t="s">
        <v>3922</v>
      </c>
      <c r="C1512">
        <v>37</v>
      </c>
      <c r="D1512" t="s">
        <v>1336</v>
      </c>
      <c r="E1512" t="s">
        <v>1430</v>
      </c>
      <c r="F1512" t="s">
        <v>1330</v>
      </c>
      <c r="G1512">
        <v>8274433854</v>
      </c>
    </row>
    <row r="1513" spans="1:7" x14ac:dyDescent="0.3">
      <c r="A1513" t="s">
        <v>3923</v>
      </c>
      <c r="B1513" t="s">
        <v>3924</v>
      </c>
      <c r="C1513">
        <v>43</v>
      </c>
      <c r="D1513" t="s">
        <v>1328</v>
      </c>
      <c r="E1513" t="s">
        <v>1393</v>
      </c>
      <c r="F1513" t="s">
        <v>1394</v>
      </c>
      <c r="G1513">
        <v>8830652989</v>
      </c>
    </row>
    <row r="1514" spans="1:7" x14ac:dyDescent="0.3">
      <c r="A1514" t="s">
        <v>706</v>
      </c>
      <c r="B1514" t="s">
        <v>3925</v>
      </c>
      <c r="C1514">
        <v>23</v>
      </c>
      <c r="D1514" t="s">
        <v>1336</v>
      </c>
      <c r="E1514" t="s">
        <v>1371</v>
      </c>
      <c r="F1514" t="s">
        <v>1342</v>
      </c>
      <c r="G1514">
        <v>7405196787</v>
      </c>
    </row>
    <row r="1515" spans="1:7" x14ac:dyDescent="0.3">
      <c r="A1515" t="s">
        <v>3926</v>
      </c>
      <c r="B1515" t="s">
        <v>3927</v>
      </c>
      <c r="C1515">
        <v>46</v>
      </c>
      <c r="D1515" t="s">
        <v>1328</v>
      </c>
      <c r="E1515" t="s">
        <v>1411</v>
      </c>
      <c r="F1515" t="s">
        <v>1356</v>
      </c>
      <c r="G1515">
        <v>6900947855</v>
      </c>
    </row>
    <row r="1516" spans="1:7" x14ac:dyDescent="0.3">
      <c r="A1516" t="s">
        <v>3928</v>
      </c>
      <c r="B1516" t="s">
        <v>3929</v>
      </c>
      <c r="C1516">
        <v>57</v>
      </c>
      <c r="D1516" t="s">
        <v>1328</v>
      </c>
      <c r="E1516" t="s">
        <v>1594</v>
      </c>
      <c r="F1516" t="s">
        <v>1445</v>
      </c>
      <c r="G1516">
        <v>8746099121</v>
      </c>
    </row>
    <row r="1517" spans="1:7" x14ac:dyDescent="0.3">
      <c r="A1517" t="s">
        <v>3930</v>
      </c>
      <c r="B1517" t="s">
        <v>3931</v>
      </c>
      <c r="C1517">
        <v>59</v>
      </c>
      <c r="D1517" t="s">
        <v>1328</v>
      </c>
      <c r="E1517" t="s">
        <v>1713</v>
      </c>
      <c r="F1517" t="s">
        <v>1409</v>
      </c>
      <c r="G1517">
        <v>9592827386</v>
      </c>
    </row>
    <row r="1518" spans="1:7" x14ac:dyDescent="0.3">
      <c r="A1518" t="s">
        <v>3932</v>
      </c>
      <c r="B1518" t="s">
        <v>3933</v>
      </c>
      <c r="C1518">
        <v>35</v>
      </c>
      <c r="D1518" t="s">
        <v>1336</v>
      </c>
      <c r="E1518" t="s">
        <v>1832</v>
      </c>
      <c r="F1518" t="s">
        <v>1368</v>
      </c>
      <c r="G1518">
        <v>8995325148</v>
      </c>
    </row>
    <row r="1519" spans="1:7" x14ac:dyDescent="0.3">
      <c r="A1519" t="s">
        <v>3934</v>
      </c>
      <c r="B1519" t="s">
        <v>3935</v>
      </c>
      <c r="C1519">
        <v>61</v>
      </c>
      <c r="D1519" t="s">
        <v>1328</v>
      </c>
      <c r="E1519" t="s">
        <v>1332</v>
      </c>
      <c r="F1519" t="s">
        <v>1333</v>
      </c>
      <c r="G1519">
        <v>8799279934</v>
      </c>
    </row>
    <row r="1520" spans="1:7" x14ac:dyDescent="0.3">
      <c r="A1520" t="s">
        <v>3936</v>
      </c>
      <c r="B1520" t="s">
        <v>3937</v>
      </c>
      <c r="C1520">
        <v>51</v>
      </c>
      <c r="D1520" t="s">
        <v>1328</v>
      </c>
      <c r="E1520" t="s">
        <v>1568</v>
      </c>
      <c r="F1520" t="s">
        <v>1445</v>
      </c>
      <c r="G1520">
        <v>7919566530</v>
      </c>
    </row>
    <row r="1521" spans="1:7" x14ac:dyDescent="0.3">
      <c r="A1521" t="s">
        <v>3938</v>
      </c>
      <c r="B1521" t="s">
        <v>3939</v>
      </c>
      <c r="C1521">
        <v>32</v>
      </c>
      <c r="D1521" t="s">
        <v>1336</v>
      </c>
      <c r="E1521" t="s">
        <v>1393</v>
      </c>
      <c r="F1521" t="s">
        <v>1394</v>
      </c>
      <c r="G1521">
        <v>7857919029</v>
      </c>
    </row>
    <row r="1522" spans="1:7" x14ac:dyDescent="0.3">
      <c r="A1522" t="s">
        <v>3940</v>
      </c>
      <c r="B1522" t="s">
        <v>3941</v>
      </c>
      <c r="C1522">
        <v>26</v>
      </c>
      <c r="D1522" t="s">
        <v>1336</v>
      </c>
      <c r="E1522" t="s">
        <v>1475</v>
      </c>
      <c r="F1522" t="s">
        <v>1419</v>
      </c>
      <c r="G1522">
        <v>6014565669</v>
      </c>
    </row>
    <row r="1523" spans="1:7" x14ac:dyDescent="0.3">
      <c r="A1523" t="s">
        <v>3942</v>
      </c>
      <c r="B1523" t="s">
        <v>3943</v>
      </c>
      <c r="C1523">
        <v>54</v>
      </c>
      <c r="D1523" t="s">
        <v>1336</v>
      </c>
      <c r="E1523" t="s">
        <v>1425</v>
      </c>
      <c r="F1523" t="s">
        <v>1409</v>
      </c>
      <c r="G1523">
        <v>7204658933</v>
      </c>
    </row>
    <row r="1524" spans="1:7" x14ac:dyDescent="0.3">
      <c r="A1524" t="s">
        <v>3944</v>
      </c>
      <c r="B1524" t="s">
        <v>3945</v>
      </c>
      <c r="C1524">
        <v>21</v>
      </c>
      <c r="D1524" t="s">
        <v>1328</v>
      </c>
      <c r="E1524" t="s">
        <v>1388</v>
      </c>
      <c r="F1524" t="s">
        <v>1342</v>
      </c>
      <c r="G1524">
        <v>8755055200</v>
      </c>
    </row>
    <row r="1525" spans="1:7" x14ac:dyDescent="0.3">
      <c r="A1525" t="s">
        <v>1000</v>
      </c>
      <c r="B1525" t="s">
        <v>3946</v>
      </c>
      <c r="C1525">
        <v>39</v>
      </c>
      <c r="D1525" t="s">
        <v>1336</v>
      </c>
      <c r="E1525" t="s">
        <v>1478</v>
      </c>
      <c r="F1525" t="s">
        <v>1391</v>
      </c>
      <c r="G1525">
        <v>8947006940</v>
      </c>
    </row>
    <row r="1526" spans="1:7" x14ac:dyDescent="0.3">
      <c r="A1526" t="s">
        <v>3947</v>
      </c>
      <c r="B1526" t="s">
        <v>3948</v>
      </c>
      <c r="C1526">
        <v>49</v>
      </c>
      <c r="D1526" t="s">
        <v>1336</v>
      </c>
      <c r="E1526" t="s">
        <v>1466</v>
      </c>
      <c r="F1526" t="s">
        <v>1338</v>
      </c>
      <c r="G1526">
        <v>8458678393</v>
      </c>
    </row>
    <row r="1527" spans="1:7" x14ac:dyDescent="0.3">
      <c r="A1527" t="s">
        <v>116</v>
      </c>
      <c r="B1527" t="s">
        <v>3949</v>
      </c>
      <c r="C1527">
        <v>47</v>
      </c>
      <c r="D1527" t="s">
        <v>1336</v>
      </c>
      <c r="E1527" t="s">
        <v>1408</v>
      </c>
      <c r="F1527" t="s">
        <v>1409</v>
      </c>
      <c r="G1527">
        <v>7077530268</v>
      </c>
    </row>
    <row r="1528" spans="1:7" x14ac:dyDescent="0.3">
      <c r="A1528" t="s">
        <v>3950</v>
      </c>
      <c r="B1528" t="s">
        <v>3951</v>
      </c>
      <c r="C1528">
        <v>37</v>
      </c>
      <c r="D1528" t="s">
        <v>1336</v>
      </c>
      <c r="E1528" t="s">
        <v>1355</v>
      </c>
      <c r="F1528" t="s">
        <v>1356</v>
      </c>
      <c r="G1528">
        <v>7435689066</v>
      </c>
    </row>
    <row r="1529" spans="1:7" x14ac:dyDescent="0.3">
      <c r="A1529" t="s">
        <v>787</v>
      </c>
      <c r="B1529" t="s">
        <v>3952</v>
      </c>
      <c r="C1529">
        <v>33</v>
      </c>
      <c r="D1529" t="s">
        <v>1336</v>
      </c>
      <c r="E1529" t="s">
        <v>1438</v>
      </c>
      <c r="F1529" t="s">
        <v>1419</v>
      </c>
      <c r="G1529">
        <v>8237312822</v>
      </c>
    </row>
    <row r="1530" spans="1:7" x14ac:dyDescent="0.3">
      <c r="A1530" t="s">
        <v>3953</v>
      </c>
      <c r="B1530" t="s">
        <v>3954</v>
      </c>
      <c r="C1530">
        <v>51</v>
      </c>
      <c r="D1530" t="s">
        <v>1336</v>
      </c>
      <c r="E1530" t="s">
        <v>1594</v>
      </c>
      <c r="F1530" t="s">
        <v>1445</v>
      </c>
      <c r="G1530">
        <v>8272716007</v>
      </c>
    </row>
    <row r="1531" spans="1:7" x14ac:dyDescent="0.3">
      <c r="A1531" t="s">
        <v>1124</v>
      </c>
      <c r="B1531" t="s">
        <v>3955</v>
      </c>
      <c r="C1531">
        <v>41</v>
      </c>
      <c r="D1531" t="s">
        <v>1336</v>
      </c>
      <c r="E1531" t="s">
        <v>1425</v>
      </c>
      <c r="F1531" t="s">
        <v>1409</v>
      </c>
      <c r="G1531">
        <v>9160907231</v>
      </c>
    </row>
    <row r="1532" spans="1:7" x14ac:dyDescent="0.3">
      <c r="A1532" t="s">
        <v>476</v>
      </c>
      <c r="B1532" t="s">
        <v>3956</v>
      </c>
      <c r="C1532">
        <v>27</v>
      </c>
      <c r="D1532" t="s">
        <v>1336</v>
      </c>
      <c r="E1532" t="s">
        <v>1418</v>
      </c>
      <c r="F1532" t="s">
        <v>1419</v>
      </c>
      <c r="G1532">
        <v>9384029882</v>
      </c>
    </row>
    <row r="1533" spans="1:7" x14ac:dyDescent="0.3">
      <c r="A1533" t="s">
        <v>3957</v>
      </c>
      <c r="B1533" t="s">
        <v>3958</v>
      </c>
      <c r="C1533">
        <v>41</v>
      </c>
      <c r="D1533" t="s">
        <v>1328</v>
      </c>
      <c r="E1533" t="s">
        <v>1456</v>
      </c>
      <c r="F1533" t="s">
        <v>1394</v>
      </c>
      <c r="G1533">
        <v>8548616901</v>
      </c>
    </row>
    <row r="1534" spans="1:7" x14ac:dyDescent="0.3">
      <c r="A1534" t="s">
        <v>3959</v>
      </c>
      <c r="B1534" t="s">
        <v>3960</v>
      </c>
      <c r="C1534">
        <v>42</v>
      </c>
      <c r="D1534" t="s">
        <v>1328</v>
      </c>
      <c r="E1534" t="s">
        <v>1556</v>
      </c>
      <c r="F1534" t="s">
        <v>1333</v>
      </c>
      <c r="G1534">
        <v>6109411760</v>
      </c>
    </row>
    <row r="1535" spans="1:7" x14ac:dyDescent="0.3">
      <c r="A1535" t="s">
        <v>3961</v>
      </c>
      <c r="B1535" t="s">
        <v>3962</v>
      </c>
      <c r="C1535">
        <v>30</v>
      </c>
      <c r="D1535" t="s">
        <v>1336</v>
      </c>
      <c r="E1535" t="s">
        <v>1568</v>
      </c>
      <c r="F1535" t="s">
        <v>1445</v>
      </c>
      <c r="G1535">
        <v>6529538462</v>
      </c>
    </row>
    <row r="1536" spans="1:7" x14ac:dyDescent="0.3">
      <c r="A1536" t="s">
        <v>66</v>
      </c>
      <c r="B1536" t="s">
        <v>3963</v>
      </c>
      <c r="C1536">
        <v>39</v>
      </c>
      <c r="D1536" t="s">
        <v>1336</v>
      </c>
      <c r="E1536" t="s">
        <v>1399</v>
      </c>
      <c r="F1536" t="s">
        <v>1400</v>
      </c>
      <c r="G1536">
        <v>7452646559</v>
      </c>
    </row>
    <row r="1537" spans="1:7" x14ac:dyDescent="0.3">
      <c r="A1537" t="s">
        <v>3964</v>
      </c>
      <c r="B1537" t="s">
        <v>3965</v>
      </c>
      <c r="C1537">
        <v>59</v>
      </c>
      <c r="D1537" t="s">
        <v>1336</v>
      </c>
      <c r="E1537" t="s">
        <v>1441</v>
      </c>
      <c r="F1537" t="s">
        <v>1394</v>
      </c>
      <c r="G1537">
        <v>8597686238</v>
      </c>
    </row>
    <row r="1538" spans="1:7" x14ac:dyDescent="0.3">
      <c r="A1538" t="s">
        <v>3966</v>
      </c>
      <c r="B1538" t="s">
        <v>3967</v>
      </c>
      <c r="C1538">
        <v>26</v>
      </c>
      <c r="D1538" t="s">
        <v>1336</v>
      </c>
      <c r="E1538" t="s">
        <v>1563</v>
      </c>
      <c r="F1538" t="s">
        <v>1356</v>
      </c>
      <c r="G1538">
        <v>8412456606</v>
      </c>
    </row>
    <row r="1539" spans="1:7" x14ac:dyDescent="0.3">
      <c r="A1539" t="s">
        <v>3968</v>
      </c>
      <c r="B1539" t="s">
        <v>3969</v>
      </c>
      <c r="C1539">
        <v>38</v>
      </c>
      <c r="D1539" t="s">
        <v>1336</v>
      </c>
      <c r="E1539" t="s">
        <v>1591</v>
      </c>
      <c r="F1539" t="s">
        <v>1352</v>
      </c>
      <c r="G1539">
        <v>6914541334</v>
      </c>
    </row>
    <row r="1540" spans="1:7" x14ac:dyDescent="0.3">
      <c r="A1540" t="s">
        <v>1252</v>
      </c>
      <c r="B1540" t="s">
        <v>3970</v>
      </c>
      <c r="C1540">
        <v>62</v>
      </c>
      <c r="D1540" t="s">
        <v>1336</v>
      </c>
      <c r="E1540" t="s">
        <v>1390</v>
      </c>
      <c r="F1540" t="s">
        <v>1391</v>
      </c>
      <c r="G1540">
        <v>6566476568</v>
      </c>
    </row>
    <row r="1541" spans="1:7" x14ac:dyDescent="0.3">
      <c r="A1541" t="s">
        <v>3971</v>
      </c>
      <c r="B1541" t="s">
        <v>3972</v>
      </c>
      <c r="C1541">
        <v>34</v>
      </c>
      <c r="D1541" t="s">
        <v>1336</v>
      </c>
      <c r="E1541" t="s">
        <v>1332</v>
      </c>
      <c r="F1541" t="s">
        <v>1333</v>
      </c>
      <c r="G1541">
        <v>9543633787</v>
      </c>
    </row>
    <row r="1542" spans="1:7" x14ac:dyDescent="0.3">
      <c r="A1542" t="s">
        <v>108</v>
      </c>
      <c r="B1542" t="s">
        <v>3973</v>
      </c>
      <c r="C1542">
        <v>30</v>
      </c>
      <c r="D1542" t="s">
        <v>1328</v>
      </c>
      <c r="E1542" t="s">
        <v>1504</v>
      </c>
      <c r="F1542" t="s">
        <v>1394</v>
      </c>
      <c r="G1542">
        <v>9563073015</v>
      </c>
    </row>
    <row r="1543" spans="1:7" x14ac:dyDescent="0.3">
      <c r="A1543" t="s">
        <v>3974</v>
      </c>
      <c r="B1543" t="s">
        <v>3975</v>
      </c>
      <c r="C1543">
        <v>55</v>
      </c>
      <c r="D1543" t="s">
        <v>1328</v>
      </c>
      <c r="E1543" t="s">
        <v>1381</v>
      </c>
      <c r="F1543" t="s">
        <v>1352</v>
      </c>
      <c r="G1543">
        <v>9860812200</v>
      </c>
    </row>
    <row r="1544" spans="1:7" x14ac:dyDescent="0.3">
      <c r="A1544" t="s">
        <v>3976</v>
      </c>
      <c r="B1544" t="s">
        <v>3977</v>
      </c>
      <c r="C1544">
        <v>46</v>
      </c>
      <c r="D1544" t="s">
        <v>1328</v>
      </c>
      <c r="E1544" t="s">
        <v>1563</v>
      </c>
      <c r="F1544" t="s">
        <v>1356</v>
      </c>
      <c r="G1544">
        <v>6668262775</v>
      </c>
    </row>
    <row r="1545" spans="1:7" x14ac:dyDescent="0.3">
      <c r="A1545" t="s">
        <v>3978</v>
      </c>
      <c r="B1545" t="s">
        <v>3979</v>
      </c>
      <c r="C1545">
        <v>57</v>
      </c>
      <c r="D1545" t="s">
        <v>1336</v>
      </c>
      <c r="E1545" t="s">
        <v>1371</v>
      </c>
      <c r="F1545" t="s">
        <v>1342</v>
      </c>
      <c r="G1545">
        <v>7060617363</v>
      </c>
    </row>
    <row r="1546" spans="1:7" x14ac:dyDescent="0.3">
      <c r="A1546" t="s">
        <v>1222</v>
      </c>
      <c r="B1546" t="s">
        <v>3980</v>
      </c>
      <c r="C1546">
        <v>57</v>
      </c>
      <c r="D1546" t="s">
        <v>1336</v>
      </c>
      <c r="E1546" t="s">
        <v>1475</v>
      </c>
      <c r="F1546" t="s">
        <v>1419</v>
      </c>
      <c r="G1546">
        <v>7142968951</v>
      </c>
    </row>
    <row r="1547" spans="1:7" x14ac:dyDescent="0.3">
      <c r="A1547" t="s">
        <v>1074</v>
      </c>
      <c r="B1547" t="s">
        <v>3981</v>
      </c>
      <c r="C1547">
        <v>55</v>
      </c>
      <c r="D1547" t="s">
        <v>1336</v>
      </c>
      <c r="E1547" t="s">
        <v>1351</v>
      </c>
      <c r="F1547" t="s">
        <v>1352</v>
      </c>
      <c r="G1547">
        <v>9138345016</v>
      </c>
    </row>
    <row r="1548" spans="1:7" x14ac:dyDescent="0.3">
      <c r="A1548" t="s">
        <v>3982</v>
      </c>
      <c r="B1548" t="s">
        <v>3983</v>
      </c>
      <c r="C1548">
        <v>26</v>
      </c>
      <c r="D1548" t="s">
        <v>1328</v>
      </c>
      <c r="E1548" t="s">
        <v>1432</v>
      </c>
      <c r="F1548" t="s">
        <v>1342</v>
      </c>
      <c r="G1548">
        <v>9848782355</v>
      </c>
    </row>
    <row r="1549" spans="1:7" x14ac:dyDescent="0.3">
      <c r="A1549" t="s">
        <v>3984</v>
      </c>
      <c r="B1549" t="s">
        <v>3985</v>
      </c>
      <c r="C1549">
        <v>59</v>
      </c>
      <c r="D1549" t="s">
        <v>1328</v>
      </c>
      <c r="E1549" t="s">
        <v>1461</v>
      </c>
      <c r="F1549" t="s">
        <v>1445</v>
      </c>
      <c r="G1549">
        <v>8549227563</v>
      </c>
    </row>
    <row r="1550" spans="1:7" x14ac:dyDescent="0.3">
      <c r="A1550" t="s">
        <v>481</v>
      </c>
      <c r="B1550" t="s">
        <v>3986</v>
      </c>
      <c r="C1550">
        <v>56</v>
      </c>
      <c r="D1550" t="s">
        <v>1328</v>
      </c>
      <c r="E1550" t="s">
        <v>1377</v>
      </c>
      <c r="F1550" t="s">
        <v>1368</v>
      </c>
      <c r="G1550">
        <v>9734629505</v>
      </c>
    </row>
    <row r="1551" spans="1:7" x14ac:dyDescent="0.3">
      <c r="A1551" t="s">
        <v>3987</v>
      </c>
      <c r="B1551" t="s">
        <v>3988</v>
      </c>
      <c r="C1551">
        <v>46</v>
      </c>
      <c r="D1551" t="s">
        <v>1328</v>
      </c>
      <c r="E1551" t="s">
        <v>1329</v>
      </c>
      <c r="F1551" t="s">
        <v>1330</v>
      </c>
      <c r="G1551">
        <v>8390521606</v>
      </c>
    </row>
    <row r="1552" spans="1:7" x14ac:dyDescent="0.3">
      <c r="A1552" t="s">
        <v>3989</v>
      </c>
      <c r="B1552" t="s">
        <v>3990</v>
      </c>
      <c r="C1552">
        <v>58</v>
      </c>
      <c r="D1552" t="s">
        <v>1336</v>
      </c>
      <c r="E1552" t="s">
        <v>1747</v>
      </c>
      <c r="F1552" t="s">
        <v>1391</v>
      </c>
      <c r="G1552">
        <v>7334053470</v>
      </c>
    </row>
    <row r="1553" spans="1:7" x14ac:dyDescent="0.3">
      <c r="A1553" t="s">
        <v>3991</v>
      </c>
      <c r="B1553" t="s">
        <v>3992</v>
      </c>
      <c r="C1553">
        <v>52</v>
      </c>
      <c r="D1553" t="s">
        <v>1336</v>
      </c>
      <c r="E1553" t="s">
        <v>1374</v>
      </c>
      <c r="F1553" t="s">
        <v>1348</v>
      </c>
      <c r="G1553">
        <v>8932020981</v>
      </c>
    </row>
    <row r="1554" spans="1:7" x14ac:dyDescent="0.3">
      <c r="A1554" t="s">
        <v>3993</v>
      </c>
      <c r="B1554" t="s">
        <v>3994</v>
      </c>
      <c r="C1554">
        <v>36</v>
      </c>
      <c r="D1554" t="s">
        <v>1336</v>
      </c>
      <c r="E1554" t="s">
        <v>1415</v>
      </c>
      <c r="F1554" t="s">
        <v>1348</v>
      </c>
      <c r="G1554">
        <v>9500617319</v>
      </c>
    </row>
    <row r="1555" spans="1:7" x14ac:dyDescent="0.3">
      <c r="A1555" t="s">
        <v>3995</v>
      </c>
      <c r="B1555" t="s">
        <v>3996</v>
      </c>
      <c r="C1555">
        <v>35</v>
      </c>
      <c r="D1555" t="s">
        <v>1328</v>
      </c>
      <c r="E1555" t="s">
        <v>1408</v>
      </c>
      <c r="F1555" t="s">
        <v>1409</v>
      </c>
      <c r="G1555">
        <v>9956647204</v>
      </c>
    </row>
    <row r="1556" spans="1:7" x14ac:dyDescent="0.3">
      <c r="A1556" t="s">
        <v>3997</v>
      </c>
      <c r="B1556" t="s">
        <v>3998</v>
      </c>
      <c r="C1556">
        <v>27</v>
      </c>
      <c r="D1556" t="s">
        <v>1336</v>
      </c>
      <c r="E1556" t="s">
        <v>1351</v>
      </c>
      <c r="F1556" t="s">
        <v>1352</v>
      </c>
      <c r="G1556">
        <v>8441597328</v>
      </c>
    </row>
    <row r="1557" spans="1:7" x14ac:dyDescent="0.3">
      <c r="A1557" t="s">
        <v>3999</v>
      </c>
      <c r="B1557" t="s">
        <v>4000</v>
      </c>
      <c r="C1557">
        <v>51</v>
      </c>
      <c r="D1557" t="s">
        <v>1336</v>
      </c>
      <c r="E1557" t="s">
        <v>1591</v>
      </c>
      <c r="F1557" t="s">
        <v>1352</v>
      </c>
      <c r="G1557">
        <v>7545749941</v>
      </c>
    </row>
    <row r="1558" spans="1:7" x14ac:dyDescent="0.3">
      <c r="A1558" t="s">
        <v>69</v>
      </c>
      <c r="B1558" t="s">
        <v>4001</v>
      </c>
      <c r="C1558">
        <v>50</v>
      </c>
      <c r="D1558" t="s">
        <v>1328</v>
      </c>
      <c r="E1558" t="s">
        <v>1832</v>
      </c>
      <c r="F1558" t="s">
        <v>1368</v>
      </c>
      <c r="G1558">
        <v>9367446919</v>
      </c>
    </row>
    <row r="1559" spans="1:7" x14ac:dyDescent="0.3">
      <c r="A1559" t="s">
        <v>4002</v>
      </c>
      <c r="B1559" t="s">
        <v>4003</v>
      </c>
      <c r="C1559">
        <v>56</v>
      </c>
      <c r="D1559" t="s">
        <v>1336</v>
      </c>
      <c r="E1559" t="s">
        <v>1832</v>
      </c>
      <c r="F1559" t="s">
        <v>1368</v>
      </c>
      <c r="G1559">
        <v>7706982969</v>
      </c>
    </row>
    <row r="1560" spans="1:7" x14ac:dyDescent="0.3">
      <c r="A1560" t="s">
        <v>1008</v>
      </c>
      <c r="B1560" t="s">
        <v>4004</v>
      </c>
      <c r="C1560">
        <v>51</v>
      </c>
      <c r="D1560" t="s">
        <v>1336</v>
      </c>
      <c r="E1560" t="s">
        <v>1501</v>
      </c>
      <c r="F1560" t="s">
        <v>1394</v>
      </c>
      <c r="G1560">
        <v>8419251066</v>
      </c>
    </row>
    <row r="1561" spans="1:7" x14ac:dyDescent="0.3">
      <c r="A1561" t="s">
        <v>4005</v>
      </c>
      <c r="B1561" t="s">
        <v>4006</v>
      </c>
      <c r="C1561">
        <v>28</v>
      </c>
      <c r="D1561" t="s">
        <v>1336</v>
      </c>
      <c r="E1561" t="s">
        <v>1390</v>
      </c>
      <c r="F1561" t="s">
        <v>1391</v>
      </c>
      <c r="G1561">
        <v>8331079411</v>
      </c>
    </row>
    <row r="1562" spans="1:7" x14ac:dyDescent="0.3">
      <c r="A1562" t="s">
        <v>4007</v>
      </c>
      <c r="B1562" t="s">
        <v>4008</v>
      </c>
      <c r="C1562">
        <v>27</v>
      </c>
      <c r="D1562" t="s">
        <v>1336</v>
      </c>
      <c r="E1562" t="s">
        <v>1451</v>
      </c>
      <c r="F1562" t="s">
        <v>1445</v>
      </c>
      <c r="G1562">
        <v>6110721990</v>
      </c>
    </row>
    <row r="1563" spans="1:7" x14ac:dyDescent="0.3">
      <c r="A1563" t="s">
        <v>4009</v>
      </c>
      <c r="B1563" t="s">
        <v>4010</v>
      </c>
      <c r="C1563">
        <v>25</v>
      </c>
      <c r="D1563" t="s">
        <v>1336</v>
      </c>
      <c r="E1563" t="s">
        <v>1337</v>
      </c>
      <c r="F1563" t="s">
        <v>1338</v>
      </c>
      <c r="G1563">
        <v>7470702159</v>
      </c>
    </row>
    <row r="1564" spans="1:7" x14ac:dyDescent="0.3">
      <c r="A1564" t="s">
        <v>4011</v>
      </c>
      <c r="B1564" t="s">
        <v>4012</v>
      </c>
      <c r="C1564">
        <v>45</v>
      </c>
      <c r="D1564" t="s">
        <v>1328</v>
      </c>
      <c r="E1564" t="s">
        <v>1637</v>
      </c>
      <c r="F1564" t="s">
        <v>1368</v>
      </c>
      <c r="G1564">
        <v>9071661468</v>
      </c>
    </row>
    <row r="1565" spans="1:7" x14ac:dyDescent="0.3">
      <c r="A1565" t="s">
        <v>4013</v>
      </c>
      <c r="B1565" t="s">
        <v>4014</v>
      </c>
      <c r="C1565">
        <v>53</v>
      </c>
      <c r="D1565" t="s">
        <v>1336</v>
      </c>
      <c r="E1565" t="s">
        <v>1432</v>
      </c>
      <c r="F1565" t="s">
        <v>1342</v>
      </c>
      <c r="G1565">
        <v>9415446646</v>
      </c>
    </row>
    <row r="1566" spans="1:7" x14ac:dyDescent="0.3">
      <c r="A1566" t="s">
        <v>4015</v>
      </c>
      <c r="B1566" t="s">
        <v>4016</v>
      </c>
      <c r="C1566">
        <v>31</v>
      </c>
      <c r="D1566" t="s">
        <v>1336</v>
      </c>
      <c r="E1566" t="s">
        <v>1649</v>
      </c>
      <c r="F1566" t="s">
        <v>1391</v>
      </c>
      <c r="G1566">
        <v>8979637453</v>
      </c>
    </row>
    <row r="1567" spans="1:7" x14ac:dyDescent="0.3">
      <c r="A1567" t="s">
        <v>646</v>
      </c>
      <c r="B1567" t="s">
        <v>4017</v>
      </c>
      <c r="C1567">
        <v>20</v>
      </c>
      <c r="D1567" t="s">
        <v>1336</v>
      </c>
      <c r="E1567" t="s">
        <v>1332</v>
      </c>
      <c r="F1567" t="s">
        <v>1333</v>
      </c>
      <c r="G1567">
        <v>7994003702</v>
      </c>
    </row>
    <row r="1568" spans="1:7" x14ac:dyDescent="0.3">
      <c r="A1568" t="s">
        <v>4018</v>
      </c>
      <c r="B1568" t="s">
        <v>4019</v>
      </c>
      <c r="C1568">
        <v>35</v>
      </c>
      <c r="D1568" t="s">
        <v>1336</v>
      </c>
      <c r="E1568" t="s">
        <v>1845</v>
      </c>
      <c r="F1568" t="s">
        <v>1330</v>
      </c>
      <c r="G1568">
        <v>6559397318</v>
      </c>
    </row>
    <row r="1569" spans="1:7" x14ac:dyDescent="0.3">
      <c r="A1569" t="s">
        <v>891</v>
      </c>
      <c r="B1569" t="s">
        <v>4020</v>
      </c>
      <c r="C1569">
        <v>46</v>
      </c>
      <c r="D1569" t="s">
        <v>1336</v>
      </c>
      <c r="E1569" t="s">
        <v>1386</v>
      </c>
      <c r="F1569" t="s">
        <v>1338</v>
      </c>
      <c r="G1569">
        <v>7718188021</v>
      </c>
    </row>
    <row r="1570" spans="1:7" x14ac:dyDescent="0.3">
      <c r="A1570" t="s">
        <v>105</v>
      </c>
      <c r="B1570" t="s">
        <v>4021</v>
      </c>
      <c r="C1570">
        <v>37</v>
      </c>
      <c r="D1570" t="s">
        <v>1328</v>
      </c>
      <c r="E1570" t="s">
        <v>1347</v>
      </c>
      <c r="F1570" t="s">
        <v>1348</v>
      </c>
      <c r="G1570">
        <v>6598889832</v>
      </c>
    </row>
    <row r="1571" spans="1:7" x14ac:dyDescent="0.3">
      <c r="A1571" t="s">
        <v>4022</v>
      </c>
      <c r="B1571" t="s">
        <v>4023</v>
      </c>
      <c r="C1571">
        <v>51</v>
      </c>
      <c r="D1571" t="s">
        <v>1336</v>
      </c>
      <c r="E1571" t="s">
        <v>1332</v>
      </c>
      <c r="F1571" t="s">
        <v>1333</v>
      </c>
      <c r="G1571">
        <v>9078222282</v>
      </c>
    </row>
    <row r="1572" spans="1:7" x14ac:dyDescent="0.3">
      <c r="A1572" t="s">
        <v>4024</v>
      </c>
      <c r="B1572" t="s">
        <v>4025</v>
      </c>
      <c r="C1572">
        <v>27</v>
      </c>
      <c r="D1572" t="s">
        <v>1336</v>
      </c>
      <c r="E1572" t="s">
        <v>1770</v>
      </c>
      <c r="F1572" t="s">
        <v>1400</v>
      </c>
      <c r="G1572">
        <v>9800792297</v>
      </c>
    </row>
    <row r="1573" spans="1:7" x14ac:dyDescent="0.3">
      <c r="A1573" t="s">
        <v>596</v>
      </c>
      <c r="B1573" t="s">
        <v>4026</v>
      </c>
      <c r="C1573">
        <v>41</v>
      </c>
      <c r="D1573" t="s">
        <v>1336</v>
      </c>
      <c r="E1573" t="s">
        <v>1542</v>
      </c>
      <c r="F1573" t="s">
        <v>1409</v>
      </c>
      <c r="G1573">
        <v>9907616195</v>
      </c>
    </row>
    <row r="1574" spans="1:7" x14ac:dyDescent="0.3">
      <c r="A1574" t="s">
        <v>368</v>
      </c>
      <c r="B1574" t="s">
        <v>4027</v>
      </c>
      <c r="C1574">
        <v>44</v>
      </c>
      <c r="D1574" t="s">
        <v>1336</v>
      </c>
      <c r="E1574" t="s">
        <v>1441</v>
      </c>
      <c r="F1574" t="s">
        <v>1394</v>
      </c>
      <c r="G1574">
        <v>7037560206</v>
      </c>
    </row>
    <row r="1575" spans="1:7" x14ac:dyDescent="0.3">
      <c r="A1575" t="s">
        <v>4028</v>
      </c>
      <c r="B1575" t="s">
        <v>4029</v>
      </c>
      <c r="C1575">
        <v>53</v>
      </c>
      <c r="D1575" t="s">
        <v>1336</v>
      </c>
      <c r="E1575" t="s">
        <v>1713</v>
      </c>
      <c r="F1575" t="s">
        <v>1409</v>
      </c>
      <c r="G1575">
        <v>6994860774</v>
      </c>
    </row>
    <row r="1576" spans="1:7" x14ac:dyDescent="0.3">
      <c r="A1576" t="s">
        <v>4030</v>
      </c>
      <c r="B1576" t="s">
        <v>4031</v>
      </c>
      <c r="C1576">
        <v>44</v>
      </c>
      <c r="D1576" t="s">
        <v>1328</v>
      </c>
      <c r="E1576" t="s">
        <v>1668</v>
      </c>
      <c r="F1576" t="s">
        <v>1445</v>
      </c>
      <c r="G1576">
        <v>7621781488</v>
      </c>
    </row>
    <row r="1577" spans="1:7" x14ac:dyDescent="0.3">
      <c r="A1577" t="s">
        <v>4032</v>
      </c>
      <c r="B1577" t="s">
        <v>4033</v>
      </c>
      <c r="C1577">
        <v>22</v>
      </c>
      <c r="D1577" t="s">
        <v>1336</v>
      </c>
      <c r="E1577" t="s">
        <v>1411</v>
      </c>
      <c r="F1577" t="s">
        <v>1356</v>
      </c>
      <c r="G1577">
        <v>6579678190</v>
      </c>
    </row>
    <row r="1578" spans="1:7" x14ac:dyDescent="0.3">
      <c r="A1578" t="s">
        <v>334</v>
      </c>
      <c r="B1578" t="s">
        <v>4034</v>
      </c>
      <c r="C1578">
        <v>24</v>
      </c>
      <c r="D1578" t="s">
        <v>1336</v>
      </c>
      <c r="E1578" t="s">
        <v>1668</v>
      </c>
      <c r="F1578" t="s">
        <v>1445</v>
      </c>
      <c r="G1578">
        <v>7513394134</v>
      </c>
    </row>
    <row r="1579" spans="1:7" x14ac:dyDescent="0.3">
      <c r="A1579" t="s">
        <v>4035</v>
      </c>
      <c r="B1579" t="s">
        <v>4036</v>
      </c>
      <c r="C1579">
        <v>38</v>
      </c>
      <c r="D1579" t="s">
        <v>1328</v>
      </c>
      <c r="E1579" t="s">
        <v>1770</v>
      </c>
      <c r="F1579" t="s">
        <v>1400</v>
      </c>
      <c r="G1579">
        <v>6130906457</v>
      </c>
    </row>
    <row r="1580" spans="1:7" x14ac:dyDescent="0.3">
      <c r="A1580" t="s">
        <v>218</v>
      </c>
      <c r="B1580" t="s">
        <v>4037</v>
      </c>
      <c r="C1580">
        <v>56</v>
      </c>
      <c r="D1580" t="s">
        <v>1336</v>
      </c>
      <c r="E1580" t="s">
        <v>1422</v>
      </c>
      <c r="F1580" t="s">
        <v>1330</v>
      </c>
      <c r="G1580">
        <v>8255511840</v>
      </c>
    </row>
    <row r="1581" spans="1:7" x14ac:dyDescent="0.3">
      <c r="A1581" t="s">
        <v>4038</v>
      </c>
      <c r="B1581" t="s">
        <v>4039</v>
      </c>
      <c r="C1581">
        <v>26</v>
      </c>
      <c r="D1581" t="s">
        <v>1336</v>
      </c>
      <c r="E1581" t="s">
        <v>1845</v>
      </c>
      <c r="F1581" t="s">
        <v>1330</v>
      </c>
      <c r="G1581">
        <v>8922594842</v>
      </c>
    </row>
    <row r="1582" spans="1:7" x14ac:dyDescent="0.3">
      <c r="A1582" t="s">
        <v>17</v>
      </c>
      <c r="B1582" t="s">
        <v>4040</v>
      </c>
      <c r="C1582">
        <v>60</v>
      </c>
      <c r="D1582" t="s">
        <v>1336</v>
      </c>
      <c r="E1582" t="s">
        <v>1365</v>
      </c>
      <c r="F1582" t="s">
        <v>1352</v>
      </c>
      <c r="G1582">
        <v>8407560124</v>
      </c>
    </row>
    <row r="1583" spans="1:7" x14ac:dyDescent="0.3">
      <c r="A1583" t="s">
        <v>650</v>
      </c>
      <c r="B1583" t="s">
        <v>4041</v>
      </c>
      <c r="C1583">
        <v>28</v>
      </c>
      <c r="D1583" t="s">
        <v>1336</v>
      </c>
      <c r="E1583" t="s">
        <v>1365</v>
      </c>
      <c r="F1583" t="s">
        <v>1352</v>
      </c>
      <c r="G1583">
        <v>7681601986</v>
      </c>
    </row>
    <row r="1584" spans="1:7" x14ac:dyDescent="0.3">
      <c r="A1584" t="s">
        <v>1274</v>
      </c>
      <c r="B1584" t="s">
        <v>4042</v>
      </c>
      <c r="C1584">
        <v>25</v>
      </c>
      <c r="D1584" t="s">
        <v>1336</v>
      </c>
      <c r="E1584" t="s">
        <v>1393</v>
      </c>
      <c r="F1584" t="s">
        <v>1394</v>
      </c>
      <c r="G1584">
        <v>9468040231</v>
      </c>
    </row>
    <row r="1585" spans="1:7" x14ac:dyDescent="0.3">
      <c r="A1585" t="s">
        <v>608</v>
      </c>
      <c r="B1585" t="s">
        <v>4043</v>
      </c>
      <c r="C1585">
        <v>52</v>
      </c>
      <c r="D1585" t="s">
        <v>1328</v>
      </c>
      <c r="E1585" t="s">
        <v>1466</v>
      </c>
      <c r="F1585" t="s">
        <v>1338</v>
      </c>
      <c r="G1585">
        <v>7028560927</v>
      </c>
    </row>
    <row r="1586" spans="1:7" x14ac:dyDescent="0.3">
      <c r="A1586" t="s">
        <v>769</v>
      </c>
      <c r="B1586" t="s">
        <v>4044</v>
      </c>
      <c r="C1586">
        <v>34</v>
      </c>
      <c r="D1586" t="s">
        <v>1328</v>
      </c>
      <c r="E1586" t="s">
        <v>1351</v>
      </c>
      <c r="F1586" t="s">
        <v>1352</v>
      </c>
      <c r="G1586">
        <v>7074879941</v>
      </c>
    </row>
    <row r="1587" spans="1:7" x14ac:dyDescent="0.3">
      <c r="A1587" t="s">
        <v>4045</v>
      </c>
      <c r="B1587" t="s">
        <v>4046</v>
      </c>
      <c r="C1587">
        <v>28</v>
      </c>
      <c r="D1587" t="s">
        <v>1328</v>
      </c>
      <c r="E1587" t="s">
        <v>1341</v>
      </c>
      <c r="F1587" t="s">
        <v>1342</v>
      </c>
      <c r="G1587">
        <v>7549235546</v>
      </c>
    </row>
    <row r="1588" spans="1:7" x14ac:dyDescent="0.3">
      <c r="A1588" t="s">
        <v>4047</v>
      </c>
      <c r="B1588" t="s">
        <v>4048</v>
      </c>
      <c r="C1588">
        <v>28</v>
      </c>
      <c r="D1588" t="s">
        <v>1336</v>
      </c>
      <c r="E1588" t="s">
        <v>1355</v>
      </c>
      <c r="F1588" t="s">
        <v>1356</v>
      </c>
      <c r="G1588">
        <v>8294935711</v>
      </c>
    </row>
    <row r="1589" spans="1:7" x14ac:dyDescent="0.3">
      <c r="A1589" t="s">
        <v>4049</v>
      </c>
      <c r="B1589" t="s">
        <v>4050</v>
      </c>
      <c r="C1589">
        <v>63</v>
      </c>
      <c r="D1589" t="s">
        <v>1328</v>
      </c>
      <c r="E1589" t="s">
        <v>1478</v>
      </c>
      <c r="F1589" t="s">
        <v>1391</v>
      </c>
      <c r="G1589">
        <v>9095174903</v>
      </c>
    </row>
    <row r="1590" spans="1:7" x14ac:dyDescent="0.3">
      <c r="A1590" t="s">
        <v>813</v>
      </c>
      <c r="B1590" t="s">
        <v>4051</v>
      </c>
      <c r="C1590">
        <v>35</v>
      </c>
      <c r="D1590" t="s">
        <v>1328</v>
      </c>
      <c r="E1590" t="s">
        <v>1374</v>
      </c>
      <c r="F1590" t="s">
        <v>1348</v>
      </c>
      <c r="G1590">
        <v>6941089544</v>
      </c>
    </row>
    <row r="1591" spans="1:7" x14ac:dyDescent="0.3">
      <c r="A1591" t="s">
        <v>4052</v>
      </c>
      <c r="B1591" t="s">
        <v>4053</v>
      </c>
      <c r="C1591">
        <v>64</v>
      </c>
      <c r="D1591" t="s">
        <v>1328</v>
      </c>
      <c r="E1591" t="s">
        <v>1377</v>
      </c>
      <c r="F1591" t="s">
        <v>1368</v>
      </c>
      <c r="G1591">
        <v>7223158525</v>
      </c>
    </row>
    <row r="1592" spans="1:7" x14ac:dyDescent="0.3">
      <c r="A1592" t="s">
        <v>4054</v>
      </c>
      <c r="B1592" t="s">
        <v>4055</v>
      </c>
      <c r="C1592">
        <v>48</v>
      </c>
      <c r="D1592" t="s">
        <v>1336</v>
      </c>
      <c r="E1592" t="s">
        <v>1341</v>
      </c>
      <c r="F1592" t="s">
        <v>1342</v>
      </c>
      <c r="G1592">
        <v>7758645923</v>
      </c>
    </row>
    <row r="1593" spans="1:7" x14ac:dyDescent="0.3">
      <c r="A1593" t="s">
        <v>1186</v>
      </c>
      <c r="B1593" t="s">
        <v>4056</v>
      </c>
      <c r="C1593">
        <v>43</v>
      </c>
      <c r="D1593" t="s">
        <v>1336</v>
      </c>
      <c r="E1593" t="s">
        <v>1668</v>
      </c>
      <c r="F1593" t="s">
        <v>1445</v>
      </c>
      <c r="G1593">
        <v>8797059842</v>
      </c>
    </row>
    <row r="1594" spans="1:7" x14ac:dyDescent="0.3">
      <c r="A1594" t="s">
        <v>4057</v>
      </c>
      <c r="B1594" t="s">
        <v>4058</v>
      </c>
      <c r="C1594">
        <v>45</v>
      </c>
      <c r="D1594" t="s">
        <v>1336</v>
      </c>
      <c r="E1594" t="s">
        <v>1329</v>
      </c>
      <c r="F1594" t="s">
        <v>1330</v>
      </c>
      <c r="G1594">
        <v>8172317023</v>
      </c>
    </row>
    <row r="1595" spans="1:7" x14ac:dyDescent="0.3">
      <c r="A1595" t="s">
        <v>4059</v>
      </c>
      <c r="B1595" t="s">
        <v>4060</v>
      </c>
      <c r="C1595">
        <v>42</v>
      </c>
      <c r="D1595" t="s">
        <v>1328</v>
      </c>
      <c r="E1595" t="s">
        <v>1478</v>
      </c>
      <c r="F1595" t="s">
        <v>1391</v>
      </c>
      <c r="G1595">
        <v>9418650940</v>
      </c>
    </row>
    <row r="1596" spans="1:7" x14ac:dyDescent="0.3">
      <c r="A1596" t="s">
        <v>4061</v>
      </c>
      <c r="B1596" t="s">
        <v>4062</v>
      </c>
      <c r="C1596">
        <v>26</v>
      </c>
      <c r="D1596" t="s">
        <v>1336</v>
      </c>
      <c r="E1596" t="s">
        <v>1393</v>
      </c>
      <c r="F1596" t="s">
        <v>1394</v>
      </c>
      <c r="G1596">
        <v>9207845118</v>
      </c>
    </row>
    <row r="1597" spans="1:7" x14ac:dyDescent="0.3">
      <c r="A1597" t="s">
        <v>713</v>
      </c>
      <c r="B1597" t="s">
        <v>4063</v>
      </c>
      <c r="C1597">
        <v>55</v>
      </c>
      <c r="D1597" t="s">
        <v>1336</v>
      </c>
      <c r="E1597" t="s">
        <v>1463</v>
      </c>
      <c r="F1597" t="s">
        <v>1391</v>
      </c>
      <c r="G1597">
        <v>9461559324</v>
      </c>
    </row>
    <row r="1598" spans="1:7" x14ac:dyDescent="0.3">
      <c r="A1598" t="s">
        <v>4064</v>
      </c>
      <c r="B1598" t="s">
        <v>4065</v>
      </c>
      <c r="C1598">
        <v>18</v>
      </c>
      <c r="D1598" t="s">
        <v>1328</v>
      </c>
      <c r="E1598" t="s">
        <v>1668</v>
      </c>
      <c r="F1598" t="s">
        <v>1445</v>
      </c>
      <c r="G1598">
        <v>6909616357</v>
      </c>
    </row>
    <row r="1599" spans="1:7" x14ac:dyDescent="0.3">
      <c r="A1599" t="s">
        <v>4066</v>
      </c>
      <c r="B1599" t="s">
        <v>4067</v>
      </c>
      <c r="C1599">
        <v>19</v>
      </c>
      <c r="D1599" t="s">
        <v>1336</v>
      </c>
      <c r="E1599" t="s">
        <v>1432</v>
      </c>
      <c r="F1599" t="s">
        <v>1342</v>
      </c>
      <c r="G1599">
        <v>6920423291</v>
      </c>
    </row>
    <row r="1600" spans="1:7" x14ac:dyDescent="0.3">
      <c r="A1600" t="s">
        <v>4068</v>
      </c>
      <c r="B1600" t="s">
        <v>4069</v>
      </c>
      <c r="C1600">
        <v>19</v>
      </c>
      <c r="D1600" t="s">
        <v>1336</v>
      </c>
      <c r="E1600" t="s">
        <v>1393</v>
      </c>
      <c r="F1600" t="s">
        <v>1394</v>
      </c>
      <c r="G1600">
        <v>9874544735</v>
      </c>
    </row>
    <row r="1601" spans="1:7" x14ac:dyDescent="0.3">
      <c r="A1601" t="s">
        <v>4070</v>
      </c>
      <c r="B1601" t="s">
        <v>4071</v>
      </c>
      <c r="C1601">
        <v>20</v>
      </c>
      <c r="D1601" t="s">
        <v>1336</v>
      </c>
      <c r="E1601" t="s">
        <v>1430</v>
      </c>
      <c r="F1601" t="s">
        <v>1330</v>
      </c>
      <c r="G1601">
        <v>6247518478</v>
      </c>
    </row>
    <row r="1602" spans="1:7" x14ac:dyDescent="0.3">
      <c r="A1602" t="s">
        <v>4072</v>
      </c>
      <c r="B1602" t="s">
        <v>4073</v>
      </c>
      <c r="C1602">
        <v>28</v>
      </c>
      <c r="D1602" t="s">
        <v>1336</v>
      </c>
      <c r="E1602" t="s">
        <v>1594</v>
      </c>
      <c r="F1602" t="s">
        <v>1445</v>
      </c>
      <c r="G1602">
        <v>9281403581</v>
      </c>
    </row>
    <row r="1603" spans="1:7" x14ac:dyDescent="0.3">
      <c r="A1603" t="s">
        <v>4074</v>
      </c>
      <c r="B1603" t="s">
        <v>4075</v>
      </c>
      <c r="C1603">
        <v>32</v>
      </c>
      <c r="D1603" t="s">
        <v>1336</v>
      </c>
      <c r="E1603" t="s">
        <v>1444</v>
      </c>
      <c r="F1603" t="s">
        <v>1445</v>
      </c>
      <c r="G1603">
        <v>9884971424</v>
      </c>
    </row>
    <row r="1604" spans="1:7" x14ac:dyDescent="0.3">
      <c r="A1604" t="s">
        <v>4076</v>
      </c>
      <c r="B1604" t="s">
        <v>4077</v>
      </c>
      <c r="C1604">
        <v>46</v>
      </c>
      <c r="D1604" t="s">
        <v>1336</v>
      </c>
      <c r="E1604" t="s">
        <v>1591</v>
      </c>
      <c r="F1604" t="s">
        <v>1352</v>
      </c>
      <c r="G1604">
        <v>9529734922</v>
      </c>
    </row>
    <row r="1605" spans="1:7" x14ac:dyDescent="0.3">
      <c r="A1605" t="s">
        <v>4078</v>
      </c>
      <c r="B1605" t="s">
        <v>4079</v>
      </c>
      <c r="C1605">
        <v>24</v>
      </c>
      <c r="D1605" t="s">
        <v>1328</v>
      </c>
      <c r="E1605" t="s">
        <v>1713</v>
      </c>
      <c r="F1605" t="s">
        <v>1409</v>
      </c>
      <c r="G1605">
        <v>9208162633</v>
      </c>
    </row>
    <row r="1606" spans="1:7" x14ac:dyDescent="0.3">
      <c r="A1606" t="s">
        <v>4080</v>
      </c>
      <c r="B1606" t="s">
        <v>4081</v>
      </c>
      <c r="C1606">
        <v>31</v>
      </c>
      <c r="D1606" t="s">
        <v>1336</v>
      </c>
      <c r="E1606" t="s">
        <v>1441</v>
      </c>
      <c r="F1606" t="s">
        <v>1394</v>
      </c>
      <c r="G1606">
        <v>6211192176</v>
      </c>
    </row>
    <row r="1607" spans="1:7" x14ac:dyDescent="0.3">
      <c r="A1607" t="s">
        <v>468</v>
      </c>
      <c r="B1607" t="s">
        <v>4082</v>
      </c>
      <c r="C1607">
        <v>47</v>
      </c>
      <c r="D1607" t="s">
        <v>1336</v>
      </c>
      <c r="E1607" t="s">
        <v>1461</v>
      </c>
      <c r="F1607" t="s">
        <v>1445</v>
      </c>
      <c r="G1607">
        <v>9605816382</v>
      </c>
    </row>
    <row r="1608" spans="1:7" x14ac:dyDescent="0.3">
      <c r="A1608" t="s">
        <v>44</v>
      </c>
      <c r="B1608" t="s">
        <v>4083</v>
      </c>
      <c r="C1608">
        <v>55</v>
      </c>
      <c r="D1608" t="s">
        <v>1328</v>
      </c>
      <c r="E1608" t="s">
        <v>1367</v>
      </c>
      <c r="F1608" t="s">
        <v>1368</v>
      </c>
      <c r="G1608">
        <v>6813160540</v>
      </c>
    </row>
    <row r="1609" spans="1:7" x14ac:dyDescent="0.3">
      <c r="A1609" t="s">
        <v>285</v>
      </c>
      <c r="B1609" t="s">
        <v>4084</v>
      </c>
      <c r="C1609">
        <v>25</v>
      </c>
      <c r="D1609" t="s">
        <v>1336</v>
      </c>
      <c r="E1609" t="s">
        <v>1332</v>
      </c>
      <c r="F1609" t="s">
        <v>1333</v>
      </c>
      <c r="G1609">
        <v>7511761858</v>
      </c>
    </row>
    <row r="1610" spans="1:7" x14ac:dyDescent="0.3">
      <c r="A1610" t="s">
        <v>582</v>
      </c>
      <c r="B1610" t="s">
        <v>4085</v>
      </c>
      <c r="C1610">
        <v>28</v>
      </c>
      <c r="D1610" t="s">
        <v>1328</v>
      </c>
      <c r="E1610" t="s">
        <v>1498</v>
      </c>
      <c r="F1610" t="s">
        <v>1362</v>
      </c>
      <c r="G1610">
        <v>6672938070</v>
      </c>
    </row>
    <row r="1611" spans="1:7" x14ac:dyDescent="0.3">
      <c r="A1611" t="s">
        <v>1296</v>
      </c>
      <c r="B1611" t="s">
        <v>4086</v>
      </c>
      <c r="C1611">
        <v>65</v>
      </c>
      <c r="D1611" t="s">
        <v>1336</v>
      </c>
      <c r="E1611" t="s">
        <v>1397</v>
      </c>
      <c r="F1611" t="s">
        <v>1333</v>
      </c>
      <c r="G1611">
        <v>9292678208</v>
      </c>
    </row>
    <row r="1612" spans="1:7" x14ac:dyDescent="0.3">
      <c r="A1612" t="s">
        <v>4087</v>
      </c>
      <c r="B1612" t="s">
        <v>4088</v>
      </c>
      <c r="C1612">
        <v>23</v>
      </c>
      <c r="D1612" t="s">
        <v>1336</v>
      </c>
      <c r="E1612" t="s">
        <v>1832</v>
      </c>
      <c r="F1612" t="s">
        <v>1368</v>
      </c>
      <c r="G1612">
        <v>7098876300</v>
      </c>
    </row>
    <row r="1613" spans="1:7" x14ac:dyDescent="0.3">
      <c r="A1613" t="s">
        <v>4089</v>
      </c>
      <c r="B1613" t="s">
        <v>4090</v>
      </c>
      <c r="C1613">
        <v>22</v>
      </c>
      <c r="D1613" t="s">
        <v>1336</v>
      </c>
      <c r="E1613" t="s">
        <v>1383</v>
      </c>
      <c r="F1613" t="s">
        <v>1338</v>
      </c>
      <c r="G1613">
        <v>7699933772</v>
      </c>
    </row>
    <row r="1614" spans="1:7" x14ac:dyDescent="0.3">
      <c r="A1614" t="s">
        <v>942</v>
      </c>
      <c r="B1614" t="s">
        <v>4091</v>
      </c>
      <c r="C1614">
        <v>45</v>
      </c>
      <c r="D1614" t="s">
        <v>1336</v>
      </c>
      <c r="E1614" t="s">
        <v>1388</v>
      </c>
      <c r="F1614" t="s">
        <v>1342</v>
      </c>
      <c r="G1614">
        <v>9461970212</v>
      </c>
    </row>
    <row r="1615" spans="1:7" x14ac:dyDescent="0.3">
      <c r="A1615" t="s">
        <v>4092</v>
      </c>
      <c r="B1615" t="s">
        <v>4093</v>
      </c>
      <c r="C1615">
        <v>58</v>
      </c>
      <c r="D1615" t="s">
        <v>1336</v>
      </c>
      <c r="E1615" t="s">
        <v>1432</v>
      </c>
      <c r="F1615" t="s">
        <v>1342</v>
      </c>
      <c r="G1615">
        <v>8623939039</v>
      </c>
    </row>
    <row r="1616" spans="1:7" x14ac:dyDescent="0.3">
      <c r="A1616" t="s">
        <v>4094</v>
      </c>
      <c r="B1616" t="s">
        <v>4095</v>
      </c>
      <c r="C1616">
        <v>53</v>
      </c>
      <c r="D1616" t="s">
        <v>1328</v>
      </c>
      <c r="E1616" t="s">
        <v>1341</v>
      </c>
      <c r="F1616" t="s">
        <v>1342</v>
      </c>
      <c r="G1616">
        <v>6519284571</v>
      </c>
    </row>
    <row r="1617" spans="1:7" x14ac:dyDescent="0.3">
      <c r="A1617" t="s">
        <v>386</v>
      </c>
      <c r="B1617" t="s">
        <v>4096</v>
      </c>
      <c r="C1617">
        <v>57</v>
      </c>
      <c r="D1617" t="s">
        <v>1336</v>
      </c>
      <c r="E1617" t="s">
        <v>1602</v>
      </c>
      <c r="F1617" t="s">
        <v>1400</v>
      </c>
      <c r="G1617">
        <v>7033262034</v>
      </c>
    </row>
    <row r="1618" spans="1:7" x14ac:dyDescent="0.3">
      <c r="A1618" t="s">
        <v>4097</v>
      </c>
      <c r="B1618" t="s">
        <v>4098</v>
      </c>
      <c r="C1618">
        <v>39</v>
      </c>
      <c r="D1618" t="s">
        <v>1328</v>
      </c>
      <c r="E1618" t="s">
        <v>1415</v>
      </c>
      <c r="F1618" t="s">
        <v>1348</v>
      </c>
      <c r="G1618">
        <v>8259970219</v>
      </c>
    </row>
    <row r="1619" spans="1:7" x14ac:dyDescent="0.3">
      <c r="A1619" t="s">
        <v>4099</v>
      </c>
      <c r="B1619" t="s">
        <v>4100</v>
      </c>
      <c r="C1619">
        <v>28</v>
      </c>
      <c r="D1619" t="s">
        <v>1328</v>
      </c>
      <c r="E1619" t="s">
        <v>1517</v>
      </c>
      <c r="F1619" t="s">
        <v>1362</v>
      </c>
      <c r="G1619">
        <v>6186159011</v>
      </c>
    </row>
    <row r="1620" spans="1:7" x14ac:dyDescent="0.3">
      <c r="A1620" t="s">
        <v>4101</v>
      </c>
      <c r="B1620" t="s">
        <v>4102</v>
      </c>
      <c r="C1620">
        <v>32</v>
      </c>
      <c r="D1620" t="s">
        <v>1336</v>
      </c>
      <c r="E1620" t="s">
        <v>1713</v>
      </c>
      <c r="F1620" t="s">
        <v>1409</v>
      </c>
      <c r="G1620">
        <v>8650011791</v>
      </c>
    </row>
    <row r="1621" spans="1:7" x14ac:dyDescent="0.3">
      <c r="A1621" t="s">
        <v>4103</v>
      </c>
      <c r="B1621" t="s">
        <v>4104</v>
      </c>
      <c r="C1621">
        <v>34</v>
      </c>
      <c r="D1621" t="s">
        <v>1336</v>
      </c>
      <c r="E1621" t="s">
        <v>1511</v>
      </c>
      <c r="F1621" t="s">
        <v>1419</v>
      </c>
      <c r="G1621">
        <v>7121468184</v>
      </c>
    </row>
    <row r="1622" spans="1:7" x14ac:dyDescent="0.3">
      <c r="A1622" t="s">
        <v>4105</v>
      </c>
      <c r="B1622" t="s">
        <v>4106</v>
      </c>
      <c r="C1622">
        <v>30</v>
      </c>
      <c r="D1622" t="s">
        <v>1328</v>
      </c>
      <c r="E1622" t="s">
        <v>1408</v>
      </c>
      <c r="F1622" t="s">
        <v>1409</v>
      </c>
      <c r="G1622">
        <v>9339081712</v>
      </c>
    </row>
    <row r="1623" spans="1:7" x14ac:dyDescent="0.3">
      <c r="A1623" t="s">
        <v>4107</v>
      </c>
      <c r="B1623" t="s">
        <v>4108</v>
      </c>
      <c r="C1623">
        <v>56</v>
      </c>
      <c r="D1623" t="s">
        <v>1328</v>
      </c>
      <c r="E1623" t="s">
        <v>1594</v>
      </c>
      <c r="F1623" t="s">
        <v>1445</v>
      </c>
      <c r="G1623">
        <v>8241363650</v>
      </c>
    </row>
    <row r="1624" spans="1:7" x14ac:dyDescent="0.3">
      <c r="A1624" t="s">
        <v>177</v>
      </c>
      <c r="B1624" t="s">
        <v>4109</v>
      </c>
      <c r="C1624">
        <v>30</v>
      </c>
      <c r="D1624" t="s">
        <v>1328</v>
      </c>
      <c r="E1624" t="s">
        <v>1341</v>
      </c>
      <c r="F1624" t="s">
        <v>1342</v>
      </c>
      <c r="G1624">
        <v>9673763909</v>
      </c>
    </row>
    <row r="1625" spans="1:7" x14ac:dyDescent="0.3">
      <c r="A1625" t="s">
        <v>351</v>
      </c>
      <c r="B1625" t="s">
        <v>4110</v>
      </c>
      <c r="C1625">
        <v>39</v>
      </c>
      <c r="D1625" t="s">
        <v>1328</v>
      </c>
      <c r="E1625" t="s">
        <v>1463</v>
      </c>
      <c r="F1625" t="s">
        <v>1391</v>
      </c>
      <c r="G1625">
        <v>6606695310</v>
      </c>
    </row>
    <row r="1626" spans="1:7" x14ac:dyDescent="0.3">
      <c r="A1626" t="s">
        <v>680</v>
      </c>
      <c r="B1626" t="s">
        <v>4111</v>
      </c>
      <c r="C1626">
        <v>64</v>
      </c>
      <c r="D1626" t="s">
        <v>1328</v>
      </c>
      <c r="E1626" t="s">
        <v>1504</v>
      </c>
      <c r="F1626" t="s">
        <v>1394</v>
      </c>
      <c r="G1626">
        <v>9325933814</v>
      </c>
    </row>
    <row r="1627" spans="1:7" x14ac:dyDescent="0.3">
      <c r="A1627" t="s">
        <v>4112</v>
      </c>
      <c r="B1627" t="s">
        <v>4113</v>
      </c>
      <c r="C1627">
        <v>63</v>
      </c>
      <c r="D1627" t="s">
        <v>1336</v>
      </c>
      <c r="E1627" t="s">
        <v>1332</v>
      </c>
      <c r="F1627" t="s">
        <v>1333</v>
      </c>
      <c r="G1627">
        <v>9134631961</v>
      </c>
    </row>
    <row r="1628" spans="1:7" x14ac:dyDescent="0.3">
      <c r="A1628" t="s">
        <v>572</v>
      </c>
      <c r="B1628" t="s">
        <v>4114</v>
      </c>
      <c r="C1628">
        <v>63</v>
      </c>
      <c r="D1628" t="s">
        <v>1336</v>
      </c>
      <c r="E1628" t="s">
        <v>1461</v>
      </c>
      <c r="F1628" t="s">
        <v>1445</v>
      </c>
      <c r="G1628">
        <v>8260531033</v>
      </c>
    </row>
    <row r="1629" spans="1:7" x14ac:dyDescent="0.3">
      <c r="A1629" t="s">
        <v>877</v>
      </c>
      <c r="B1629" t="s">
        <v>4115</v>
      </c>
      <c r="C1629">
        <v>41</v>
      </c>
      <c r="D1629" t="s">
        <v>1336</v>
      </c>
      <c r="E1629" t="s">
        <v>1415</v>
      </c>
      <c r="F1629" t="s">
        <v>1348</v>
      </c>
      <c r="G1629">
        <v>9083422679</v>
      </c>
    </row>
    <row r="1630" spans="1:7" x14ac:dyDescent="0.3">
      <c r="A1630" t="s">
        <v>4116</v>
      </c>
      <c r="B1630" t="s">
        <v>4117</v>
      </c>
      <c r="C1630">
        <v>55</v>
      </c>
      <c r="D1630" t="s">
        <v>1328</v>
      </c>
      <c r="E1630" t="s">
        <v>1466</v>
      </c>
      <c r="F1630" t="s">
        <v>1338</v>
      </c>
      <c r="G1630">
        <v>9763366178</v>
      </c>
    </row>
    <row r="1631" spans="1:7" x14ac:dyDescent="0.3">
      <c r="A1631" t="s">
        <v>4118</v>
      </c>
      <c r="B1631" t="s">
        <v>4119</v>
      </c>
      <c r="C1631">
        <v>46</v>
      </c>
      <c r="D1631" t="s">
        <v>1328</v>
      </c>
      <c r="E1631" t="s">
        <v>1463</v>
      </c>
      <c r="F1631" t="s">
        <v>1391</v>
      </c>
      <c r="G1631">
        <v>8843883936</v>
      </c>
    </row>
    <row r="1632" spans="1:7" x14ac:dyDescent="0.3">
      <c r="A1632" t="s">
        <v>4120</v>
      </c>
      <c r="B1632" t="s">
        <v>4121</v>
      </c>
      <c r="C1632">
        <v>35</v>
      </c>
      <c r="D1632" t="s">
        <v>1328</v>
      </c>
      <c r="E1632" t="s">
        <v>1329</v>
      </c>
      <c r="F1632" t="s">
        <v>1330</v>
      </c>
      <c r="G1632">
        <v>9300180957</v>
      </c>
    </row>
    <row r="1633" spans="1:7" x14ac:dyDescent="0.3">
      <c r="A1633" t="s">
        <v>4122</v>
      </c>
      <c r="B1633" t="s">
        <v>4123</v>
      </c>
      <c r="C1633">
        <v>33</v>
      </c>
      <c r="D1633" t="s">
        <v>1336</v>
      </c>
      <c r="E1633" t="s">
        <v>1591</v>
      </c>
      <c r="F1633" t="s">
        <v>1352</v>
      </c>
      <c r="G1633">
        <v>9512165016</v>
      </c>
    </row>
    <row r="1634" spans="1:7" x14ac:dyDescent="0.3">
      <c r="A1634" t="s">
        <v>4124</v>
      </c>
      <c r="B1634" t="s">
        <v>4125</v>
      </c>
      <c r="C1634">
        <v>36</v>
      </c>
      <c r="D1634" t="s">
        <v>1328</v>
      </c>
      <c r="E1634" t="s">
        <v>1517</v>
      </c>
      <c r="F1634" t="s">
        <v>1362</v>
      </c>
      <c r="G1634">
        <v>9160664889</v>
      </c>
    </row>
    <row r="1635" spans="1:7" x14ac:dyDescent="0.3">
      <c r="A1635" t="s">
        <v>668</v>
      </c>
      <c r="B1635" t="s">
        <v>4126</v>
      </c>
      <c r="C1635">
        <v>59</v>
      </c>
      <c r="D1635" t="s">
        <v>1328</v>
      </c>
      <c r="E1635" t="s">
        <v>1556</v>
      </c>
      <c r="F1635" t="s">
        <v>1333</v>
      </c>
      <c r="G1635">
        <v>9305901713</v>
      </c>
    </row>
    <row r="1636" spans="1:7" x14ac:dyDescent="0.3">
      <c r="A1636" t="s">
        <v>1016</v>
      </c>
      <c r="B1636" t="s">
        <v>4127</v>
      </c>
      <c r="C1636">
        <v>53</v>
      </c>
      <c r="D1636" t="s">
        <v>1328</v>
      </c>
      <c r="E1636" t="s">
        <v>1397</v>
      </c>
      <c r="F1636" t="s">
        <v>1333</v>
      </c>
      <c r="G1636">
        <v>7126075157</v>
      </c>
    </row>
    <row r="1637" spans="1:7" x14ac:dyDescent="0.3">
      <c r="A1637" t="s">
        <v>4128</v>
      </c>
      <c r="B1637" t="s">
        <v>4129</v>
      </c>
      <c r="C1637">
        <v>35</v>
      </c>
      <c r="D1637" t="s">
        <v>1328</v>
      </c>
      <c r="E1637" t="s">
        <v>1478</v>
      </c>
      <c r="F1637" t="s">
        <v>1391</v>
      </c>
      <c r="G1637">
        <v>6082263427</v>
      </c>
    </row>
    <row r="1638" spans="1:7" x14ac:dyDescent="0.3">
      <c r="A1638" t="s">
        <v>4130</v>
      </c>
      <c r="B1638" t="s">
        <v>4131</v>
      </c>
      <c r="C1638">
        <v>40</v>
      </c>
      <c r="D1638" t="s">
        <v>1336</v>
      </c>
      <c r="E1638" t="s">
        <v>1451</v>
      </c>
      <c r="F1638" t="s">
        <v>1445</v>
      </c>
      <c r="G1638">
        <v>7030908509</v>
      </c>
    </row>
    <row r="1639" spans="1:7" x14ac:dyDescent="0.3">
      <c r="A1639" t="s">
        <v>4132</v>
      </c>
      <c r="B1639" t="s">
        <v>4133</v>
      </c>
      <c r="C1639">
        <v>27</v>
      </c>
      <c r="D1639" t="s">
        <v>1328</v>
      </c>
      <c r="E1639" t="s">
        <v>1341</v>
      </c>
      <c r="F1639" t="s">
        <v>1342</v>
      </c>
      <c r="G1639">
        <v>7025645765</v>
      </c>
    </row>
    <row r="1640" spans="1:7" x14ac:dyDescent="0.3">
      <c r="A1640" t="s">
        <v>97</v>
      </c>
      <c r="B1640" t="s">
        <v>4134</v>
      </c>
      <c r="C1640">
        <v>26</v>
      </c>
      <c r="D1640" t="s">
        <v>1336</v>
      </c>
      <c r="E1640" t="s">
        <v>1381</v>
      </c>
      <c r="F1640" t="s">
        <v>1352</v>
      </c>
      <c r="G1640">
        <v>9034454482</v>
      </c>
    </row>
    <row r="1641" spans="1:7" x14ac:dyDescent="0.3">
      <c r="A1641" t="s">
        <v>507</v>
      </c>
      <c r="B1641" t="s">
        <v>4135</v>
      </c>
      <c r="C1641">
        <v>52</v>
      </c>
      <c r="D1641" t="s">
        <v>1336</v>
      </c>
      <c r="E1641" t="s">
        <v>1413</v>
      </c>
      <c r="F1641" t="s">
        <v>1348</v>
      </c>
      <c r="G1641">
        <v>8104737042</v>
      </c>
    </row>
    <row r="1642" spans="1:7" x14ac:dyDescent="0.3">
      <c r="A1642" t="s">
        <v>1250</v>
      </c>
      <c r="B1642" t="s">
        <v>4136</v>
      </c>
      <c r="C1642">
        <v>63</v>
      </c>
      <c r="D1642" t="s">
        <v>1328</v>
      </c>
      <c r="E1642" t="s">
        <v>1475</v>
      </c>
      <c r="F1642" t="s">
        <v>1419</v>
      </c>
      <c r="G1642">
        <v>6219636545</v>
      </c>
    </row>
    <row r="1643" spans="1:7" x14ac:dyDescent="0.3">
      <c r="A1643" t="s">
        <v>4137</v>
      </c>
      <c r="B1643" t="s">
        <v>4138</v>
      </c>
      <c r="C1643">
        <v>26</v>
      </c>
      <c r="D1643" t="s">
        <v>1336</v>
      </c>
      <c r="E1643" t="s">
        <v>1411</v>
      </c>
      <c r="F1643" t="s">
        <v>1356</v>
      </c>
      <c r="G1643">
        <v>9498247713</v>
      </c>
    </row>
    <row r="1644" spans="1:7" x14ac:dyDescent="0.3">
      <c r="A1644" t="s">
        <v>4139</v>
      </c>
      <c r="B1644" t="s">
        <v>4140</v>
      </c>
      <c r="C1644">
        <v>47</v>
      </c>
      <c r="D1644" t="s">
        <v>1328</v>
      </c>
      <c r="E1644" t="s">
        <v>1498</v>
      </c>
      <c r="F1644" t="s">
        <v>1362</v>
      </c>
      <c r="G1644">
        <v>7967313261</v>
      </c>
    </row>
    <row r="1645" spans="1:7" x14ac:dyDescent="0.3">
      <c r="A1645" t="s">
        <v>4141</v>
      </c>
      <c r="B1645" t="s">
        <v>4142</v>
      </c>
      <c r="C1645">
        <v>32</v>
      </c>
      <c r="D1645" t="s">
        <v>1328</v>
      </c>
      <c r="E1645" t="s">
        <v>1713</v>
      </c>
      <c r="F1645" t="s">
        <v>1409</v>
      </c>
      <c r="G1645">
        <v>8795902370</v>
      </c>
    </row>
    <row r="1646" spans="1:7" x14ac:dyDescent="0.3">
      <c r="A1646" t="s">
        <v>4143</v>
      </c>
      <c r="B1646" t="s">
        <v>4144</v>
      </c>
      <c r="C1646">
        <v>33</v>
      </c>
      <c r="D1646" t="s">
        <v>1336</v>
      </c>
      <c r="E1646" t="s">
        <v>1832</v>
      </c>
      <c r="F1646" t="s">
        <v>1368</v>
      </c>
      <c r="G1646">
        <v>7888348291</v>
      </c>
    </row>
    <row r="1647" spans="1:7" x14ac:dyDescent="0.3">
      <c r="A1647" t="s">
        <v>4145</v>
      </c>
      <c r="B1647" t="s">
        <v>4146</v>
      </c>
      <c r="C1647">
        <v>36</v>
      </c>
      <c r="D1647" t="s">
        <v>1328</v>
      </c>
      <c r="E1647" t="s">
        <v>1845</v>
      </c>
      <c r="F1647" t="s">
        <v>1330</v>
      </c>
      <c r="G1647">
        <v>9481213539</v>
      </c>
    </row>
    <row r="1648" spans="1:7" x14ac:dyDescent="0.3">
      <c r="A1648" t="s">
        <v>4147</v>
      </c>
      <c r="B1648" t="s">
        <v>4148</v>
      </c>
      <c r="C1648">
        <v>49</v>
      </c>
      <c r="D1648" t="s">
        <v>1328</v>
      </c>
      <c r="E1648" t="s">
        <v>1568</v>
      </c>
      <c r="F1648" t="s">
        <v>1445</v>
      </c>
      <c r="G1648">
        <v>8619054921</v>
      </c>
    </row>
    <row r="1649" spans="1:7" x14ac:dyDescent="0.3">
      <c r="A1649" t="s">
        <v>4149</v>
      </c>
      <c r="B1649" t="s">
        <v>4150</v>
      </c>
      <c r="C1649">
        <v>25</v>
      </c>
      <c r="D1649" t="s">
        <v>1328</v>
      </c>
      <c r="E1649" t="s">
        <v>1432</v>
      </c>
      <c r="F1649" t="s">
        <v>1342</v>
      </c>
      <c r="G1649">
        <v>9318074608</v>
      </c>
    </row>
    <row r="1650" spans="1:7" x14ac:dyDescent="0.3">
      <c r="A1650" t="s">
        <v>4151</v>
      </c>
      <c r="B1650" t="s">
        <v>4152</v>
      </c>
      <c r="C1650">
        <v>32</v>
      </c>
      <c r="D1650" t="s">
        <v>1328</v>
      </c>
      <c r="E1650" t="s">
        <v>1478</v>
      </c>
      <c r="F1650" t="s">
        <v>1391</v>
      </c>
      <c r="G1650">
        <v>7301268415</v>
      </c>
    </row>
    <row r="1651" spans="1:7" x14ac:dyDescent="0.3">
      <c r="A1651" t="s">
        <v>4153</v>
      </c>
      <c r="B1651" t="s">
        <v>4154</v>
      </c>
      <c r="C1651">
        <v>27</v>
      </c>
      <c r="D1651" t="s">
        <v>1328</v>
      </c>
      <c r="E1651" t="s">
        <v>1329</v>
      </c>
      <c r="F1651" t="s">
        <v>1330</v>
      </c>
      <c r="G1651">
        <v>8041098638</v>
      </c>
    </row>
    <row r="1652" spans="1:7" x14ac:dyDescent="0.3">
      <c r="A1652" t="s">
        <v>1168</v>
      </c>
      <c r="B1652" t="s">
        <v>4155</v>
      </c>
      <c r="C1652">
        <v>60</v>
      </c>
      <c r="D1652" t="s">
        <v>1336</v>
      </c>
      <c r="E1652" t="s">
        <v>1568</v>
      </c>
      <c r="F1652" t="s">
        <v>1445</v>
      </c>
      <c r="G1652">
        <v>8503373694</v>
      </c>
    </row>
    <row r="1653" spans="1:7" x14ac:dyDescent="0.3">
      <c r="A1653" t="s">
        <v>328</v>
      </c>
      <c r="B1653" t="s">
        <v>4156</v>
      </c>
      <c r="C1653">
        <v>32</v>
      </c>
      <c r="D1653" t="s">
        <v>1336</v>
      </c>
      <c r="E1653" t="s">
        <v>1383</v>
      </c>
      <c r="F1653" t="s">
        <v>1338</v>
      </c>
      <c r="G1653">
        <v>6098687917</v>
      </c>
    </row>
    <row r="1654" spans="1:7" x14ac:dyDescent="0.3">
      <c r="A1654" t="s">
        <v>873</v>
      </c>
      <c r="B1654" t="s">
        <v>4157</v>
      </c>
      <c r="C1654">
        <v>58</v>
      </c>
      <c r="D1654" t="s">
        <v>1336</v>
      </c>
      <c r="E1654" t="s">
        <v>1413</v>
      </c>
      <c r="F1654" t="s">
        <v>1348</v>
      </c>
      <c r="G1654">
        <v>6068221596</v>
      </c>
    </row>
    <row r="1655" spans="1:7" x14ac:dyDescent="0.3">
      <c r="A1655" t="s">
        <v>4158</v>
      </c>
      <c r="B1655" t="s">
        <v>4159</v>
      </c>
      <c r="C1655">
        <v>37</v>
      </c>
      <c r="D1655" t="s">
        <v>1328</v>
      </c>
      <c r="E1655" t="s">
        <v>1413</v>
      </c>
      <c r="F1655" t="s">
        <v>1348</v>
      </c>
      <c r="G1655">
        <v>9511294763</v>
      </c>
    </row>
    <row r="1656" spans="1:7" x14ac:dyDescent="0.3">
      <c r="A1656" t="s">
        <v>4160</v>
      </c>
      <c r="B1656" t="s">
        <v>4161</v>
      </c>
      <c r="C1656">
        <v>55</v>
      </c>
      <c r="D1656" t="s">
        <v>1328</v>
      </c>
      <c r="E1656" t="s">
        <v>1556</v>
      </c>
      <c r="F1656" t="s">
        <v>1333</v>
      </c>
      <c r="G1656">
        <v>8413162802</v>
      </c>
    </row>
    <row r="1657" spans="1:7" x14ac:dyDescent="0.3">
      <c r="A1657" t="s">
        <v>4162</v>
      </c>
      <c r="B1657" t="s">
        <v>4163</v>
      </c>
      <c r="C1657">
        <v>27</v>
      </c>
      <c r="D1657" t="s">
        <v>1336</v>
      </c>
      <c r="E1657" t="s">
        <v>1411</v>
      </c>
      <c r="F1657" t="s">
        <v>1356</v>
      </c>
      <c r="G1657">
        <v>7864990516</v>
      </c>
    </row>
    <row r="1658" spans="1:7" x14ac:dyDescent="0.3">
      <c r="A1658" t="s">
        <v>4164</v>
      </c>
      <c r="B1658" t="s">
        <v>4165</v>
      </c>
      <c r="C1658">
        <v>56</v>
      </c>
      <c r="D1658" t="s">
        <v>1328</v>
      </c>
      <c r="E1658" t="s">
        <v>1475</v>
      </c>
      <c r="F1658" t="s">
        <v>1419</v>
      </c>
      <c r="G1658">
        <v>6670867979</v>
      </c>
    </row>
    <row r="1659" spans="1:7" x14ac:dyDescent="0.3">
      <c r="A1659" t="s">
        <v>4166</v>
      </c>
      <c r="B1659" t="s">
        <v>4167</v>
      </c>
      <c r="C1659">
        <v>50</v>
      </c>
      <c r="D1659" t="s">
        <v>1328</v>
      </c>
      <c r="E1659" t="s">
        <v>1498</v>
      </c>
      <c r="F1659" t="s">
        <v>1362</v>
      </c>
      <c r="G1659">
        <v>9673358433</v>
      </c>
    </row>
    <row r="1660" spans="1:7" x14ac:dyDescent="0.3">
      <c r="A1660" t="s">
        <v>4168</v>
      </c>
      <c r="B1660" t="s">
        <v>4169</v>
      </c>
      <c r="C1660">
        <v>28</v>
      </c>
      <c r="D1660" t="s">
        <v>1336</v>
      </c>
      <c r="E1660" t="s">
        <v>1351</v>
      </c>
      <c r="F1660" t="s">
        <v>1352</v>
      </c>
      <c r="G1660">
        <v>7522660058</v>
      </c>
    </row>
    <row r="1661" spans="1:7" x14ac:dyDescent="0.3">
      <c r="A1661" t="s">
        <v>4170</v>
      </c>
      <c r="B1661" t="s">
        <v>4171</v>
      </c>
      <c r="C1661">
        <v>21</v>
      </c>
      <c r="D1661" t="s">
        <v>1328</v>
      </c>
      <c r="E1661" t="s">
        <v>1594</v>
      </c>
      <c r="F1661" t="s">
        <v>1445</v>
      </c>
      <c r="G1661">
        <v>8747968427</v>
      </c>
    </row>
    <row r="1662" spans="1:7" x14ac:dyDescent="0.3">
      <c r="A1662" t="s">
        <v>4172</v>
      </c>
      <c r="B1662" t="s">
        <v>4173</v>
      </c>
      <c r="C1662">
        <v>39</v>
      </c>
      <c r="D1662" t="s">
        <v>1336</v>
      </c>
      <c r="E1662" t="s">
        <v>1432</v>
      </c>
      <c r="F1662" t="s">
        <v>1342</v>
      </c>
      <c r="G1662">
        <v>6401175135</v>
      </c>
    </row>
    <row r="1663" spans="1:7" x14ac:dyDescent="0.3">
      <c r="A1663" t="s">
        <v>4174</v>
      </c>
      <c r="B1663" t="s">
        <v>4175</v>
      </c>
      <c r="C1663">
        <v>43</v>
      </c>
      <c r="D1663" t="s">
        <v>1336</v>
      </c>
      <c r="E1663" t="s">
        <v>1381</v>
      </c>
      <c r="F1663" t="s">
        <v>1352</v>
      </c>
      <c r="G1663">
        <v>7643535686</v>
      </c>
    </row>
    <row r="1664" spans="1:7" x14ac:dyDescent="0.3">
      <c r="A1664" t="s">
        <v>978</v>
      </c>
      <c r="B1664" t="s">
        <v>4176</v>
      </c>
      <c r="C1664">
        <v>65</v>
      </c>
      <c r="D1664" t="s">
        <v>1336</v>
      </c>
      <c r="E1664" t="s">
        <v>1602</v>
      </c>
      <c r="F1664" t="s">
        <v>1400</v>
      </c>
      <c r="G1664">
        <v>7459464232</v>
      </c>
    </row>
    <row r="1665" spans="1:7" x14ac:dyDescent="0.3">
      <c r="A1665" t="s">
        <v>4177</v>
      </c>
      <c r="B1665" t="s">
        <v>4178</v>
      </c>
      <c r="C1665">
        <v>60</v>
      </c>
      <c r="D1665" t="s">
        <v>1328</v>
      </c>
      <c r="E1665" t="s">
        <v>1444</v>
      </c>
      <c r="F1665" t="s">
        <v>1445</v>
      </c>
      <c r="G1665">
        <v>8830729154</v>
      </c>
    </row>
    <row r="1666" spans="1:7" x14ac:dyDescent="0.3">
      <c r="A1666" t="s">
        <v>612</v>
      </c>
      <c r="B1666" t="s">
        <v>4179</v>
      </c>
      <c r="C1666">
        <v>39</v>
      </c>
      <c r="D1666" t="s">
        <v>1328</v>
      </c>
      <c r="E1666" t="s">
        <v>1390</v>
      </c>
      <c r="F1666" t="s">
        <v>1391</v>
      </c>
      <c r="G1666">
        <v>8376774256</v>
      </c>
    </row>
    <row r="1667" spans="1:7" x14ac:dyDescent="0.3">
      <c r="A1667" t="s">
        <v>970</v>
      </c>
      <c r="B1667" t="s">
        <v>4180</v>
      </c>
      <c r="C1667">
        <v>44</v>
      </c>
      <c r="D1667" t="s">
        <v>1328</v>
      </c>
      <c r="E1667" t="s">
        <v>1390</v>
      </c>
      <c r="F1667" t="s">
        <v>1391</v>
      </c>
      <c r="G1667">
        <v>7233969347</v>
      </c>
    </row>
    <row r="1668" spans="1:7" x14ac:dyDescent="0.3">
      <c r="A1668" t="s">
        <v>4181</v>
      </c>
      <c r="B1668" t="s">
        <v>4182</v>
      </c>
      <c r="C1668">
        <v>23</v>
      </c>
      <c r="D1668" t="s">
        <v>1328</v>
      </c>
      <c r="E1668" t="s">
        <v>1466</v>
      </c>
      <c r="F1668" t="s">
        <v>1338</v>
      </c>
      <c r="G1668">
        <v>8595765832</v>
      </c>
    </row>
    <row r="1669" spans="1:7" x14ac:dyDescent="0.3">
      <c r="A1669" t="s">
        <v>4183</v>
      </c>
      <c r="B1669" t="s">
        <v>4184</v>
      </c>
      <c r="C1669">
        <v>41</v>
      </c>
      <c r="D1669" t="s">
        <v>1336</v>
      </c>
      <c r="E1669" t="s">
        <v>1418</v>
      </c>
      <c r="F1669" t="s">
        <v>1419</v>
      </c>
      <c r="G1669">
        <v>6344972827</v>
      </c>
    </row>
    <row r="1670" spans="1:7" x14ac:dyDescent="0.3">
      <c r="A1670" t="s">
        <v>4185</v>
      </c>
      <c r="B1670" t="s">
        <v>4186</v>
      </c>
      <c r="C1670">
        <v>47</v>
      </c>
      <c r="D1670" t="s">
        <v>1328</v>
      </c>
      <c r="E1670" t="s">
        <v>1355</v>
      </c>
      <c r="F1670" t="s">
        <v>1356</v>
      </c>
      <c r="G1670">
        <v>9901021013</v>
      </c>
    </row>
    <row r="1671" spans="1:7" x14ac:dyDescent="0.3">
      <c r="A1671" t="s">
        <v>4187</v>
      </c>
      <c r="B1671" t="s">
        <v>4188</v>
      </c>
      <c r="C1671">
        <v>51</v>
      </c>
      <c r="D1671" t="s">
        <v>1336</v>
      </c>
      <c r="E1671" t="s">
        <v>1498</v>
      </c>
      <c r="F1671" t="s">
        <v>1362</v>
      </c>
      <c r="G1671">
        <v>6343447197</v>
      </c>
    </row>
    <row r="1672" spans="1:7" x14ac:dyDescent="0.3">
      <c r="A1672" t="s">
        <v>4189</v>
      </c>
      <c r="B1672" t="s">
        <v>4190</v>
      </c>
      <c r="C1672">
        <v>64</v>
      </c>
      <c r="D1672" t="s">
        <v>1328</v>
      </c>
      <c r="E1672" t="s">
        <v>1713</v>
      </c>
      <c r="F1672" t="s">
        <v>1409</v>
      </c>
      <c r="G1672">
        <v>8738420943</v>
      </c>
    </row>
    <row r="1673" spans="1:7" x14ac:dyDescent="0.3">
      <c r="A1673" t="s">
        <v>1122</v>
      </c>
      <c r="B1673" t="s">
        <v>4191</v>
      </c>
      <c r="C1673">
        <v>44</v>
      </c>
      <c r="D1673" t="s">
        <v>1336</v>
      </c>
      <c r="E1673" t="s">
        <v>1425</v>
      </c>
      <c r="F1673" t="s">
        <v>1409</v>
      </c>
      <c r="G1673">
        <v>9376945446</v>
      </c>
    </row>
    <row r="1674" spans="1:7" x14ac:dyDescent="0.3">
      <c r="A1674" t="s">
        <v>4192</v>
      </c>
      <c r="B1674" t="s">
        <v>4193</v>
      </c>
      <c r="C1674">
        <v>63</v>
      </c>
      <c r="D1674" t="s">
        <v>1328</v>
      </c>
      <c r="E1674" t="s">
        <v>1377</v>
      </c>
      <c r="F1674" t="s">
        <v>1368</v>
      </c>
      <c r="G1674">
        <v>6143740308</v>
      </c>
    </row>
    <row r="1675" spans="1:7" x14ac:dyDescent="0.3">
      <c r="A1675" t="s">
        <v>4194</v>
      </c>
      <c r="B1675" t="s">
        <v>4195</v>
      </c>
      <c r="C1675">
        <v>62</v>
      </c>
      <c r="D1675" t="s">
        <v>1336</v>
      </c>
      <c r="E1675" t="s">
        <v>1329</v>
      </c>
      <c r="F1675" t="s">
        <v>1330</v>
      </c>
      <c r="G1675">
        <v>6591072324</v>
      </c>
    </row>
    <row r="1676" spans="1:7" x14ac:dyDescent="0.3">
      <c r="A1676" t="s">
        <v>4196</v>
      </c>
      <c r="B1676" t="s">
        <v>4197</v>
      </c>
      <c r="C1676">
        <v>53</v>
      </c>
      <c r="D1676" t="s">
        <v>1336</v>
      </c>
      <c r="E1676" t="s">
        <v>1845</v>
      </c>
      <c r="F1676" t="s">
        <v>1330</v>
      </c>
      <c r="G1676">
        <v>7755164101</v>
      </c>
    </row>
    <row r="1677" spans="1:7" x14ac:dyDescent="0.3">
      <c r="A1677" t="s">
        <v>1134</v>
      </c>
      <c r="B1677" t="s">
        <v>4198</v>
      </c>
      <c r="C1677">
        <v>64</v>
      </c>
      <c r="D1677" t="s">
        <v>1328</v>
      </c>
      <c r="E1677" t="s">
        <v>1386</v>
      </c>
      <c r="F1677" t="s">
        <v>1338</v>
      </c>
      <c r="G1677">
        <v>6750663431</v>
      </c>
    </row>
    <row r="1678" spans="1:7" x14ac:dyDescent="0.3">
      <c r="A1678" t="s">
        <v>4199</v>
      </c>
      <c r="B1678" t="s">
        <v>4200</v>
      </c>
      <c r="C1678">
        <v>48</v>
      </c>
      <c r="D1678" t="s">
        <v>1336</v>
      </c>
      <c r="E1678" t="s">
        <v>1556</v>
      </c>
      <c r="F1678" t="s">
        <v>1333</v>
      </c>
      <c r="G1678">
        <v>8612770893</v>
      </c>
    </row>
    <row r="1679" spans="1:7" x14ac:dyDescent="0.3">
      <c r="A1679" t="s">
        <v>4201</v>
      </c>
      <c r="B1679" t="s">
        <v>4202</v>
      </c>
      <c r="C1679">
        <v>51</v>
      </c>
      <c r="D1679" t="s">
        <v>1336</v>
      </c>
      <c r="E1679" t="s">
        <v>1430</v>
      </c>
      <c r="F1679" t="s">
        <v>1330</v>
      </c>
      <c r="G1679">
        <v>7817728190</v>
      </c>
    </row>
    <row r="1680" spans="1:7" x14ac:dyDescent="0.3">
      <c r="A1680" t="s">
        <v>158</v>
      </c>
      <c r="B1680" t="s">
        <v>4203</v>
      </c>
      <c r="C1680">
        <v>22</v>
      </c>
      <c r="D1680" t="s">
        <v>1328</v>
      </c>
      <c r="E1680" t="s">
        <v>1390</v>
      </c>
      <c r="F1680" t="s">
        <v>1391</v>
      </c>
      <c r="G1680">
        <v>9591977098</v>
      </c>
    </row>
    <row r="1681" spans="1:7" x14ac:dyDescent="0.3">
      <c r="A1681" t="s">
        <v>4204</v>
      </c>
      <c r="B1681" t="s">
        <v>4205</v>
      </c>
      <c r="C1681">
        <v>22</v>
      </c>
      <c r="D1681" t="s">
        <v>1328</v>
      </c>
      <c r="E1681" t="s">
        <v>1337</v>
      </c>
      <c r="F1681" t="s">
        <v>1338</v>
      </c>
      <c r="G1681">
        <v>8523640386</v>
      </c>
    </row>
    <row r="1682" spans="1:7" x14ac:dyDescent="0.3">
      <c r="A1682" t="s">
        <v>4206</v>
      </c>
      <c r="B1682" t="s">
        <v>4207</v>
      </c>
      <c r="C1682">
        <v>40</v>
      </c>
      <c r="D1682" t="s">
        <v>1328</v>
      </c>
      <c r="E1682" t="s">
        <v>1355</v>
      </c>
      <c r="F1682" t="s">
        <v>1356</v>
      </c>
      <c r="G1682">
        <v>7499785711</v>
      </c>
    </row>
    <row r="1683" spans="1:7" x14ac:dyDescent="0.3">
      <c r="A1683" t="s">
        <v>438</v>
      </c>
      <c r="B1683" t="s">
        <v>4208</v>
      </c>
      <c r="C1683">
        <v>38</v>
      </c>
      <c r="D1683" t="s">
        <v>1328</v>
      </c>
      <c r="E1683" t="s">
        <v>1413</v>
      </c>
      <c r="F1683" t="s">
        <v>1348</v>
      </c>
      <c r="G1683">
        <v>7174662183</v>
      </c>
    </row>
    <row r="1684" spans="1:7" x14ac:dyDescent="0.3">
      <c r="A1684" t="s">
        <v>616</v>
      </c>
      <c r="B1684" t="s">
        <v>4209</v>
      </c>
      <c r="C1684">
        <v>51</v>
      </c>
      <c r="D1684" t="s">
        <v>1336</v>
      </c>
      <c r="E1684" t="s">
        <v>1815</v>
      </c>
      <c r="F1684" t="s">
        <v>1400</v>
      </c>
      <c r="G1684">
        <v>6179527955</v>
      </c>
    </row>
    <row r="1685" spans="1:7" x14ac:dyDescent="0.3">
      <c r="A1685" t="s">
        <v>4210</v>
      </c>
      <c r="B1685" t="s">
        <v>4211</v>
      </c>
      <c r="C1685">
        <v>39</v>
      </c>
      <c r="D1685" t="s">
        <v>1328</v>
      </c>
      <c r="E1685" t="s">
        <v>1332</v>
      </c>
      <c r="F1685" t="s">
        <v>1333</v>
      </c>
      <c r="G1685">
        <v>8469149172</v>
      </c>
    </row>
    <row r="1686" spans="1:7" x14ac:dyDescent="0.3">
      <c r="A1686" t="s">
        <v>4212</v>
      </c>
      <c r="B1686" t="s">
        <v>4213</v>
      </c>
      <c r="C1686">
        <v>34</v>
      </c>
      <c r="D1686" t="s">
        <v>1336</v>
      </c>
      <c r="E1686" t="s">
        <v>1361</v>
      </c>
      <c r="F1686" t="s">
        <v>1362</v>
      </c>
      <c r="G1686">
        <v>6804193229</v>
      </c>
    </row>
    <row r="1687" spans="1:7" x14ac:dyDescent="0.3">
      <c r="A1687" t="s">
        <v>4214</v>
      </c>
      <c r="B1687" t="s">
        <v>4215</v>
      </c>
      <c r="C1687">
        <v>52</v>
      </c>
      <c r="D1687" t="s">
        <v>1336</v>
      </c>
      <c r="E1687" t="s">
        <v>1422</v>
      </c>
      <c r="F1687" t="s">
        <v>1330</v>
      </c>
      <c r="G1687">
        <v>7636140328</v>
      </c>
    </row>
    <row r="1688" spans="1:7" x14ac:dyDescent="0.3">
      <c r="A1688" t="s">
        <v>4216</v>
      </c>
      <c r="B1688" t="s">
        <v>4217</v>
      </c>
      <c r="C1688">
        <v>38</v>
      </c>
      <c r="D1688" t="s">
        <v>1336</v>
      </c>
      <c r="E1688" t="s">
        <v>1501</v>
      </c>
      <c r="F1688" t="s">
        <v>1394</v>
      </c>
      <c r="G1688">
        <v>8940089164</v>
      </c>
    </row>
    <row r="1689" spans="1:7" x14ac:dyDescent="0.3">
      <c r="A1689" t="s">
        <v>4218</v>
      </c>
      <c r="B1689" t="s">
        <v>4219</v>
      </c>
      <c r="C1689">
        <v>18</v>
      </c>
      <c r="D1689" t="s">
        <v>1336</v>
      </c>
      <c r="E1689" t="s">
        <v>1713</v>
      </c>
      <c r="F1689" t="s">
        <v>1409</v>
      </c>
      <c r="G1689">
        <v>9691123244</v>
      </c>
    </row>
    <row r="1690" spans="1:7" x14ac:dyDescent="0.3">
      <c r="A1690" t="s">
        <v>4220</v>
      </c>
      <c r="B1690" t="s">
        <v>4221</v>
      </c>
      <c r="C1690">
        <v>56</v>
      </c>
      <c r="D1690" t="s">
        <v>1336</v>
      </c>
      <c r="E1690" t="s">
        <v>1511</v>
      </c>
      <c r="F1690" t="s">
        <v>1419</v>
      </c>
      <c r="G1690">
        <v>8524689342</v>
      </c>
    </row>
    <row r="1691" spans="1:7" x14ac:dyDescent="0.3">
      <c r="A1691" t="s">
        <v>4222</v>
      </c>
      <c r="B1691" t="s">
        <v>4223</v>
      </c>
      <c r="C1691">
        <v>65</v>
      </c>
      <c r="D1691" t="s">
        <v>1328</v>
      </c>
      <c r="E1691" t="s">
        <v>1815</v>
      </c>
      <c r="F1691" t="s">
        <v>1400</v>
      </c>
      <c r="G1691">
        <v>6055319967</v>
      </c>
    </row>
    <row r="1692" spans="1:7" x14ac:dyDescent="0.3">
      <c r="A1692" t="s">
        <v>239</v>
      </c>
      <c r="B1692" t="s">
        <v>4224</v>
      </c>
      <c r="C1692">
        <v>48</v>
      </c>
      <c r="D1692" t="s">
        <v>1336</v>
      </c>
      <c r="E1692" t="s">
        <v>1747</v>
      </c>
      <c r="F1692" t="s">
        <v>1391</v>
      </c>
      <c r="G1692">
        <v>6675363614</v>
      </c>
    </row>
    <row r="1693" spans="1:7" x14ac:dyDescent="0.3">
      <c r="A1693" t="s">
        <v>1258</v>
      </c>
      <c r="B1693" t="s">
        <v>4225</v>
      </c>
      <c r="C1693">
        <v>34</v>
      </c>
      <c r="D1693" t="s">
        <v>1336</v>
      </c>
      <c r="E1693" t="s">
        <v>1568</v>
      </c>
      <c r="F1693" t="s">
        <v>1445</v>
      </c>
      <c r="G1693">
        <v>7625517613</v>
      </c>
    </row>
    <row r="1694" spans="1:7" x14ac:dyDescent="0.3">
      <c r="A1694" t="s">
        <v>4226</v>
      </c>
      <c r="B1694" t="s">
        <v>4227</v>
      </c>
      <c r="C1694">
        <v>59</v>
      </c>
      <c r="D1694" t="s">
        <v>1336</v>
      </c>
      <c r="E1694" t="s">
        <v>1438</v>
      </c>
      <c r="F1694" t="s">
        <v>1419</v>
      </c>
      <c r="G1694">
        <v>8435003664</v>
      </c>
    </row>
    <row r="1695" spans="1:7" x14ac:dyDescent="0.3">
      <c r="A1695" t="s">
        <v>4228</v>
      </c>
      <c r="B1695" t="s">
        <v>4229</v>
      </c>
      <c r="C1695">
        <v>53</v>
      </c>
      <c r="D1695" t="s">
        <v>1336</v>
      </c>
      <c r="E1695" t="s">
        <v>1397</v>
      </c>
      <c r="F1695" t="s">
        <v>1333</v>
      </c>
      <c r="G1695">
        <v>7224067460</v>
      </c>
    </row>
    <row r="1696" spans="1:7" x14ac:dyDescent="0.3">
      <c r="A1696" t="s">
        <v>4230</v>
      </c>
      <c r="B1696" t="s">
        <v>4231</v>
      </c>
      <c r="C1696">
        <v>27</v>
      </c>
      <c r="D1696" t="s">
        <v>1328</v>
      </c>
      <c r="E1696" t="s">
        <v>1386</v>
      </c>
      <c r="F1696" t="s">
        <v>1338</v>
      </c>
      <c r="G1696">
        <v>7228688142</v>
      </c>
    </row>
    <row r="1697" spans="1:7" x14ac:dyDescent="0.3">
      <c r="A1697" t="s">
        <v>885</v>
      </c>
      <c r="B1697" t="s">
        <v>4232</v>
      </c>
      <c r="C1697">
        <v>64</v>
      </c>
      <c r="D1697" t="s">
        <v>1336</v>
      </c>
      <c r="E1697" t="s">
        <v>1483</v>
      </c>
      <c r="F1697" t="s">
        <v>1368</v>
      </c>
      <c r="G1697">
        <v>9191933198</v>
      </c>
    </row>
    <row r="1698" spans="1:7" x14ac:dyDescent="0.3">
      <c r="A1698" t="s">
        <v>4233</v>
      </c>
      <c r="B1698" t="s">
        <v>4234</v>
      </c>
      <c r="C1698">
        <v>22</v>
      </c>
      <c r="D1698" t="s">
        <v>1328</v>
      </c>
      <c r="E1698" t="s">
        <v>1556</v>
      </c>
      <c r="F1698" t="s">
        <v>1333</v>
      </c>
      <c r="G1698">
        <v>8493754032</v>
      </c>
    </row>
    <row r="1699" spans="1:7" x14ac:dyDescent="0.3">
      <c r="A1699" t="s">
        <v>4235</v>
      </c>
      <c r="B1699" t="s">
        <v>4236</v>
      </c>
      <c r="C1699">
        <v>47</v>
      </c>
      <c r="D1699" t="s">
        <v>1336</v>
      </c>
      <c r="E1699" t="s">
        <v>1463</v>
      </c>
      <c r="F1699" t="s">
        <v>1391</v>
      </c>
      <c r="G1699">
        <v>8409403869</v>
      </c>
    </row>
    <row r="1700" spans="1:7" x14ac:dyDescent="0.3">
      <c r="A1700" t="s">
        <v>4237</v>
      </c>
      <c r="B1700" t="s">
        <v>4238</v>
      </c>
      <c r="C1700">
        <v>32</v>
      </c>
      <c r="D1700" t="s">
        <v>1328</v>
      </c>
      <c r="E1700" t="s">
        <v>1602</v>
      </c>
      <c r="F1700" t="s">
        <v>1400</v>
      </c>
      <c r="G1700">
        <v>8531428410</v>
      </c>
    </row>
    <row r="1701" spans="1:7" x14ac:dyDescent="0.3">
      <c r="A1701" t="s">
        <v>4239</v>
      </c>
      <c r="B1701" t="s">
        <v>4240</v>
      </c>
      <c r="C1701">
        <v>31</v>
      </c>
      <c r="D1701" t="s">
        <v>1336</v>
      </c>
      <c r="E1701" t="s">
        <v>1747</v>
      </c>
      <c r="F1701" t="s">
        <v>1391</v>
      </c>
      <c r="G1701">
        <v>9923775644</v>
      </c>
    </row>
    <row r="1702" spans="1:7" x14ac:dyDescent="0.3">
      <c r="A1702" t="s">
        <v>934</v>
      </c>
      <c r="B1702" t="s">
        <v>4241</v>
      </c>
      <c r="C1702">
        <v>28</v>
      </c>
      <c r="D1702" t="s">
        <v>1336</v>
      </c>
      <c r="E1702" t="s">
        <v>1332</v>
      </c>
      <c r="F1702" t="s">
        <v>1333</v>
      </c>
      <c r="G1702">
        <v>7970205819</v>
      </c>
    </row>
    <row r="1703" spans="1:7" x14ac:dyDescent="0.3">
      <c r="A1703" t="s">
        <v>4242</v>
      </c>
      <c r="B1703" t="s">
        <v>4243</v>
      </c>
      <c r="C1703">
        <v>26</v>
      </c>
      <c r="D1703" t="s">
        <v>1328</v>
      </c>
      <c r="E1703" t="s">
        <v>1602</v>
      </c>
      <c r="F1703" t="s">
        <v>1400</v>
      </c>
      <c r="G1703">
        <v>9214357935</v>
      </c>
    </row>
    <row r="1704" spans="1:7" x14ac:dyDescent="0.3">
      <c r="A1704" t="s">
        <v>4244</v>
      </c>
      <c r="B1704" t="s">
        <v>4245</v>
      </c>
      <c r="C1704">
        <v>65</v>
      </c>
      <c r="D1704" t="s">
        <v>1336</v>
      </c>
      <c r="E1704" t="s">
        <v>1815</v>
      </c>
      <c r="F1704" t="s">
        <v>1400</v>
      </c>
      <c r="G1704">
        <v>8975562348</v>
      </c>
    </row>
    <row r="1705" spans="1:7" x14ac:dyDescent="0.3">
      <c r="A1705" t="s">
        <v>4246</v>
      </c>
      <c r="B1705" t="s">
        <v>4247</v>
      </c>
      <c r="C1705">
        <v>39</v>
      </c>
      <c r="D1705" t="s">
        <v>1328</v>
      </c>
      <c r="E1705" t="s">
        <v>1413</v>
      </c>
      <c r="F1705" t="s">
        <v>1348</v>
      </c>
      <c r="G1705">
        <v>7065415852</v>
      </c>
    </row>
    <row r="1706" spans="1:7" x14ac:dyDescent="0.3">
      <c r="A1706" t="s">
        <v>1068</v>
      </c>
      <c r="B1706" t="s">
        <v>4248</v>
      </c>
      <c r="C1706">
        <v>24</v>
      </c>
      <c r="D1706" t="s">
        <v>1328</v>
      </c>
      <c r="E1706" t="s">
        <v>1478</v>
      </c>
      <c r="F1706" t="s">
        <v>1391</v>
      </c>
      <c r="G1706">
        <v>8551304951</v>
      </c>
    </row>
    <row r="1707" spans="1:7" x14ac:dyDescent="0.3">
      <c r="A1707" t="s">
        <v>4249</v>
      </c>
      <c r="B1707" t="s">
        <v>4250</v>
      </c>
      <c r="C1707">
        <v>24</v>
      </c>
      <c r="D1707" t="s">
        <v>1328</v>
      </c>
      <c r="E1707" t="s">
        <v>1517</v>
      </c>
      <c r="F1707" t="s">
        <v>1362</v>
      </c>
      <c r="G1707">
        <v>6645218566</v>
      </c>
    </row>
    <row r="1708" spans="1:7" x14ac:dyDescent="0.3">
      <c r="A1708" t="s">
        <v>640</v>
      </c>
      <c r="B1708" t="s">
        <v>4251</v>
      </c>
      <c r="C1708">
        <v>28</v>
      </c>
      <c r="D1708" t="s">
        <v>1336</v>
      </c>
      <c r="E1708" t="s">
        <v>1432</v>
      </c>
      <c r="F1708" t="s">
        <v>1342</v>
      </c>
      <c r="G1708">
        <v>9202450260</v>
      </c>
    </row>
    <row r="1709" spans="1:7" x14ac:dyDescent="0.3">
      <c r="A1709" t="s">
        <v>4252</v>
      </c>
      <c r="B1709" t="s">
        <v>4253</v>
      </c>
      <c r="C1709">
        <v>55</v>
      </c>
      <c r="D1709" t="s">
        <v>1336</v>
      </c>
      <c r="E1709" t="s">
        <v>1713</v>
      </c>
      <c r="F1709" t="s">
        <v>1409</v>
      </c>
      <c r="G1709">
        <v>9544701403</v>
      </c>
    </row>
    <row r="1710" spans="1:7" x14ac:dyDescent="0.3">
      <c r="A1710" t="s">
        <v>801</v>
      </c>
      <c r="B1710" t="s">
        <v>4254</v>
      </c>
      <c r="C1710">
        <v>28</v>
      </c>
      <c r="D1710" t="s">
        <v>1336</v>
      </c>
      <c r="E1710" t="s">
        <v>1599</v>
      </c>
      <c r="F1710" t="s">
        <v>1400</v>
      </c>
      <c r="G1710">
        <v>7098474296</v>
      </c>
    </row>
    <row r="1711" spans="1:7" x14ac:dyDescent="0.3">
      <c r="A1711" t="s">
        <v>4255</v>
      </c>
      <c r="B1711" t="s">
        <v>4256</v>
      </c>
      <c r="C1711">
        <v>58</v>
      </c>
      <c r="D1711" t="s">
        <v>1336</v>
      </c>
      <c r="E1711" t="s">
        <v>1478</v>
      </c>
      <c r="F1711" t="s">
        <v>1391</v>
      </c>
      <c r="G1711">
        <v>7687655534</v>
      </c>
    </row>
    <row r="1712" spans="1:7" x14ac:dyDescent="0.3">
      <c r="A1712" t="s">
        <v>4257</v>
      </c>
      <c r="B1712" t="s">
        <v>4258</v>
      </c>
      <c r="C1712">
        <v>43</v>
      </c>
      <c r="D1712" t="s">
        <v>1328</v>
      </c>
      <c r="E1712" t="s">
        <v>1517</v>
      </c>
      <c r="F1712" t="s">
        <v>1362</v>
      </c>
      <c r="G1712">
        <v>8352751297</v>
      </c>
    </row>
    <row r="1713" spans="1:7" x14ac:dyDescent="0.3">
      <c r="A1713" t="s">
        <v>817</v>
      </c>
      <c r="B1713" t="s">
        <v>4259</v>
      </c>
      <c r="C1713">
        <v>30</v>
      </c>
      <c r="D1713" t="s">
        <v>1328</v>
      </c>
      <c r="E1713" t="s">
        <v>1815</v>
      </c>
      <c r="F1713" t="s">
        <v>1400</v>
      </c>
      <c r="G1713">
        <v>8897656586</v>
      </c>
    </row>
    <row r="1714" spans="1:7" x14ac:dyDescent="0.3">
      <c r="A1714" t="s">
        <v>4260</v>
      </c>
      <c r="B1714" t="s">
        <v>4261</v>
      </c>
      <c r="C1714">
        <v>56</v>
      </c>
      <c r="D1714" t="s">
        <v>1336</v>
      </c>
      <c r="E1714" t="s">
        <v>1386</v>
      </c>
      <c r="F1714" t="s">
        <v>1338</v>
      </c>
      <c r="G1714">
        <v>6811994337</v>
      </c>
    </row>
    <row r="1715" spans="1:7" x14ac:dyDescent="0.3">
      <c r="A1715" t="s">
        <v>4262</v>
      </c>
      <c r="B1715" t="s">
        <v>4263</v>
      </c>
      <c r="C1715">
        <v>40</v>
      </c>
      <c r="D1715" t="s">
        <v>1328</v>
      </c>
      <c r="E1715" t="s">
        <v>1466</v>
      </c>
      <c r="F1715" t="s">
        <v>1338</v>
      </c>
      <c r="G1715">
        <v>6669050346</v>
      </c>
    </row>
    <row r="1716" spans="1:7" x14ac:dyDescent="0.3">
      <c r="A1716" t="s">
        <v>4264</v>
      </c>
      <c r="B1716" t="s">
        <v>4265</v>
      </c>
      <c r="C1716">
        <v>45</v>
      </c>
      <c r="D1716" t="s">
        <v>1328</v>
      </c>
      <c r="E1716" t="s">
        <v>1361</v>
      </c>
      <c r="F1716" t="s">
        <v>1362</v>
      </c>
      <c r="G1716">
        <v>7434237434</v>
      </c>
    </row>
    <row r="1717" spans="1:7" x14ac:dyDescent="0.3">
      <c r="A1717" t="s">
        <v>1130</v>
      </c>
      <c r="B1717" t="s">
        <v>4266</v>
      </c>
      <c r="C1717">
        <v>47</v>
      </c>
      <c r="D1717" t="s">
        <v>1336</v>
      </c>
      <c r="E1717" t="s">
        <v>1393</v>
      </c>
      <c r="F1717" t="s">
        <v>1394</v>
      </c>
      <c r="G1717">
        <v>8944582855</v>
      </c>
    </row>
    <row r="1718" spans="1:7" x14ac:dyDescent="0.3">
      <c r="A1718" t="s">
        <v>4267</v>
      </c>
      <c r="B1718" t="s">
        <v>4268</v>
      </c>
      <c r="C1718">
        <v>18</v>
      </c>
      <c r="D1718" t="s">
        <v>1328</v>
      </c>
      <c r="E1718" t="s">
        <v>1347</v>
      </c>
      <c r="F1718" t="s">
        <v>1348</v>
      </c>
      <c r="G1718">
        <v>7585527698</v>
      </c>
    </row>
    <row r="1719" spans="1:7" x14ac:dyDescent="0.3">
      <c r="A1719" t="s">
        <v>843</v>
      </c>
      <c r="B1719" t="s">
        <v>4269</v>
      </c>
      <c r="C1719">
        <v>48</v>
      </c>
      <c r="D1719" t="s">
        <v>1336</v>
      </c>
      <c r="E1719" t="s">
        <v>1332</v>
      </c>
      <c r="F1719" t="s">
        <v>1333</v>
      </c>
      <c r="G1719">
        <v>9833266700</v>
      </c>
    </row>
    <row r="1720" spans="1:7" x14ac:dyDescent="0.3">
      <c r="A1720" t="s">
        <v>4270</v>
      </c>
      <c r="B1720" t="s">
        <v>4271</v>
      </c>
      <c r="C1720">
        <v>54</v>
      </c>
      <c r="D1720" t="s">
        <v>1328</v>
      </c>
      <c r="E1720" t="s">
        <v>1504</v>
      </c>
      <c r="F1720" t="s">
        <v>1394</v>
      </c>
      <c r="G1720">
        <v>8921150372</v>
      </c>
    </row>
    <row r="1721" spans="1:7" x14ac:dyDescent="0.3">
      <c r="A1721" t="s">
        <v>1006</v>
      </c>
      <c r="B1721" t="s">
        <v>4272</v>
      </c>
      <c r="C1721">
        <v>28</v>
      </c>
      <c r="D1721" t="s">
        <v>1336</v>
      </c>
      <c r="E1721" t="s">
        <v>1591</v>
      </c>
      <c r="F1721" t="s">
        <v>1352</v>
      </c>
      <c r="G1721">
        <v>8624246571</v>
      </c>
    </row>
    <row r="1722" spans="1:7" x14ac:dyDescent="0.3">
      <c r="A1722" t="s">
        <v>4273</v>
      </c>
      <c r="B1722" t="s">
        <v>4274</v>
      </c>
      <c r="C1722">
        <v>19</v>
      </c>
      <c r="D1722" t="s">
        <v>1328</v>
      </c>
      <c r="E1722" t="s">
        <v>1637</v>
      </c>
      <c r="F1722" t="s">
        <v>1368</v>
      </c>
      <c r="G1722">
        <v>6547945106</v>
      </c>
    </row>
    <row r="1723" spans="1:7" x14ac:dyDescent="0.3">
      <c r="A1723" t="s">
        <v>739</v>
      </c>
      <c r="B1723" t="s">
        <v>4275</v>
      </c>
      <c r="C1723">
        <v>42</v>
      </c>
      <c r="D1723" t="s">
        <v>1336</v>
      </c>
      <c r="E1723" t="s">
        <v>1498</v>
      </c>
      <c r="F1723" t="s">
        <v>1362</v>
      </c>
      <c r="G1723">
        <v>8331396298</v>
      </c>
    </row>
    <row r="1724" spans="1:7" x14ac:dyDescent="0.3">
      <c r="A1724" t="s">
        <v>4276</v>
      </c>
      <c r="B1724" t="s">
        <v>4277</v>
      </c>
      <c r="C1724">
        <v>52</v>
      </c>
      <c r="D1724" t="s">
        <v>1336</v>
      </c>
      <c r="E1724" t="s">
        <v>1347</v>
      </c>
      <c r="F1724" t="s">
        <v>1348</v>
      </c>
      <c r="G1724">
        <v>6487367211</v>
      </c>
    </row>
    <row r="1725" spans="1:7" x14ac:dyDescent="0.3">
      <c r="A1725" t="s">
        <v>4278</v>
      </c>
      <c r="B1725" t="s">
        <v>4279</v>
      </c>
      <c r="C1725">
        <v>63</v>
      </c>
      <c r="D1725" t="s">
        <v>1328</v>
      </c>
      <c r="E1725" t="s">
        <v>1599</v>
      </c>
      <c r="F1725" t="s">
        <v>1400</v>
      </c>
      <c r="G1725">
        <v>9966896447</v>
      </c>
    </row>
    <row r="1726" spans="1:7" x14ac:dyDescent="0.3">
      <c r="A1726" t="s">
        <v>4280</v>
      </c>
      <c r="B1726" t="s">
        <v>4281</v>
      </c>
      <c r="C1726">
        <v>47</v>
      </c>
      <c r="D1726" t="s">
        <v>1328</v>
      </c>
      <c r="E1726" t="s">
        <v>1415</v>
      </c>
      <c r="F1726" t="s">
        <v>1348</v>
      </c>
      <c r="G1726">
        <v>9007331914</v>
      </c>
    </row>
    <row r="1727" spans="1:7" x14ac:dyDescent="0.3">
      <c r="A1727" t="s">
        <v>4282</v>
      </c>
      <c r="B1727" t="s">
        <v>4283</v>
      </c>
      <c r="C1727">
        <v>52</v>
      </c>
      <c r="D1727" t="s">
        <v>1328</v>
      </c>
      <c r="E1727" t="s">
        <v>1347</v>
      </c>
      <c r="F1727" t="s">
        <v>1348</v>
      </c>
      <c r="G1727">
        <v>7729542330</v>
      </c>
    </row>
    <row r="1728" spans="1:7" x14ac:dyDescent="0.3">
      <c r="A1728" t="s">
        <v>4284</v>
      </c>
      <c r="B1728" t="s">
        <v>4285</v>
      </c>
      <c r="C1728">
        <v>44</v>
      </c>
      <c r="D1728" t="s">
        <v>1336</v>
      </c>
      <c r="E1728" t="s">
        <v>1332</v>
      </c>
      <c r="F1728" t="s">
        <v>1333</v>
      </c>
      <c r="G1728">
        <v>7913369776</v>
      </c>
    </row>
    <row r="1729" spans="1:7" x14ac:dyDescent="0.3">
      <c r="A1729" t="s">
        <v>4286</v>
      </c>
      <c r="B1729" t="s">
        <v>4287</v>
      </c>
      <c r="C1729">
        <v>51</v>
      </c>
      <c r="D1729" t="s">
        <v>1328</v>
      </c>
      <c r="E1729" t="s">
        <v>1393</v>
      </c>
      <c r="F1729" t="s">
        <v>1394</v>
      </c>
      <c r="G1729">
        <v>7494332742</v>
      </c>
    </row>
    <row r="1730" spans="1:7" x14ac:dyDescent="0.3">
      <c r="A1730" t="s">
        <v>4288</v>
      </c>
      <c r="B1730" t="s">
        <v>4289</v>
      </c>
      <c r="C1730">
        <v>34</v>
      </c>
      <c r="D1730" t="s">
        <v>1336</v>
      </c>
      <c r="E1730" t="s">
        <v>1374</v>
      </c>
      <c r="F1730" t="s">
        <v>1348</v>
      </c>
      <c r="G1730">
        <v>9131881880</v>
      </c>
    </row>
    <row r="1731" spans="1:7" x14ac:dyDescent="0.3">
      <c r="A1731" t="s">
        <v>4290</v>
      </c>
      <c r="B1731" t="s">
        <v>4291</v>
      </c>
      <c r="C1731">
        <v>30</v>
      </c>
      <c r="D1731" t="s">
        <v>1328</v>
      </c>
      <c r="E1731" t="s">
        <v>1770</v>
      </c>
      <c r="F1731" t="s">
        <v>1400</v>
      </c>
      <c r="G1731">
        <v>6708170052</v>
      </c>
    </row>
    <row r="1732" spans="1:7" x14ac:dyDescent="0.3">
      <c r="A1732" t="s">
        <v>4292</v>
      </c>
      <c r="B1732" t="s">
        <v>4293</v>
      </c>
      <c r="C1732">
        <v>57</v>
      </c>
      <c r="D1732" t="s">
        <v>1328</v>
      </c>
      <c r="E1732" t="s">
        <v>1386</v>
      </c>
      <c r="F1732" t="s">
        <v>1338</v>
      </c>
      <c r="G1732">
        <v>7909004171</v>
      </c>
    </row>
    <row r="1733" spans="1:7" x14ac:dyDescent="0.3">
      <c r="A1733" t="s">
        <v>4294</v>
      </c>
      <c r="B1733" t="s">
        <v>4295</v>
      </c>
      <c r="C1733">
        <v>65</v>
      </c>
      <c r="D1733" t="s">
        <v>1328</v>
      </c>
      <c r="E1733" t="s">
        <v>1411</v>
      </c>
      <c r="F1733" t="s">
        <v>1356</v>
      </c>
      <c r="G1733">
        <v>6605351100</v>
      </c>
    </row>
    <row r="1734" spans="1:7" x14ac:dyDescent="0.3">
      <c r="A1734" t="s">
        <v>4296</v>
      </c>
      <c r="B1734" t="s">
        <v>4297</v>
      </c>
      <c r="C1734">
        <v>38</v>
      </c>
      <c r="D1734" t="s">
        <v>1336</v>
      </c>
      <c r="E1734" t="s">
        <v>1563</v>
      </c>
      <c r="F1734" t="s">
        <v>1356</v>
      </c>
      <c r="G1734">
        <v>8975267633</v>
      </c>
    </row>
    <row r="1735" spans="1:7" x14ac:dyDescent="0.3">
      <c r="A1735" t="s">
        <v>4298</v>
      </c>
      <c r="B1735" t="s">
        <v>4299</v>
      </c>
      <c r="C1735">
        <v>41</v>
      </c>
      <c r="D1735" t="s">
        <v>1328</v>
      </c>
      <c r="E1735" t="s">
        <v>1347</v>
      </c>
      <c r="F1735" t="s">
        <v>1348</v>
      </c>
      <c r="G1735">
        <v>7569777871</v>
      </c>
    </row>
    <row r="1736" spans="1:7" x14ac:dyDescent="0.3">
      <c r="A1736" t="s">
        <v>4300</v>
      </c>
      <c r="B1736" t="s">
        <v>4301</v>
      </c>
      <c r="C1736">
        <v>55</v>
      </c>
      <c r="D1736" t="s">
        <v>1336</v>
      </c>
      <c r="E1736" t="s">
        <v>1415</v>
      </c>
      <c r="F1736" t="s">
        <v>1348</v>
      </c>
      <c r="G1736">
        <v>8514470532</v>
      </c>
    </row>
    <row r="1737" spans="1:7" x14ac:dyDescent="0.3">
      <c r="A1737" t="s">
        <v>4302</v>
      </c>
      <c r="B1737" t="s">
        <v>4303</v>
      </c>
      <c r="C1737">
        <v>20</v>
      </c>
      <c r="D1737" t="s">
        <v>1328</v>
      </c>
      <c r="E1737" t="s">
        <v>1498</v>
      </c>
      <c r="F1737" t="s">
        <v>1362</v>
      </c>
      <c r="G1737">
        <v>6705742387</v>
      </c>
    </row>
    <row r="1738" spans="1:7" x14ac:dyDescent="0.3">
      <c r="A1738" t="s">
        <v>879</v>
      </c>
      <c r="B1738" t="s">
        <v>4304</v>
      </c>
      <c r="C1738">
        <v>31</v>
      </c>
      <c r="D1738" t="s">
        <v>1328</v>
      </c>
      <c r="E1738" t="s">
        <v>1329</v>
      </c>
      <c r="F1738" t="s">
        <v>1330</v>
      </c>
      <c r="G1738">
        <v>6465243862</v>
      </c>
    </row>
    <row r="1739" spans="1:7" x14ac:dyDescent="0.3">
      <c r="A1739" t="s">
        <v>4305</v>
      </c>
      <c r="B1739" t="s">
        <v>4306</v>
      </c>
      <c r="C1739">
        <v>22</v>
      </c>
      <c r="D1739" t="s">
        <v>1328</v>
      </c>
      <c r="E1739" t="s">
        <v>1332</v>
      </c>
      <c r="F1739" t="s">
        <v>1333</v>
      </c>
      <c r="G1739">
        <v>6372007816</v>
      </c>
    </row>
    <row r="1740" spans="1:7" x14ac:dyDescent="0.3">
      <c r="A1740" t="s">
        <v>898</v>
      </c>
      <c r="B1740" t="s">
        <v>4307</v>
      </c>
      <c r="C1740">
        <v>29</v>
      </c>
      <c r="D1740" t="s">
        <v>1328</v>
      </c>
      <c r="E1740" t="s">
        <v>1418</v>
      </c>
      <c r="F1740" t="s">
        <v>1419</v>
      </c>
      <c r="G1740">
        <v>7518876004</v>
      </c>
    </row>
    <row r="1741" spans="1:7" x14ac:dyDescent="0.3">
      <c r="A1741" t="s">
        <v>4308</v>
      </c>
      <c r="B1741" t="s">
        <v>4309</v>
      </c>
      <c r="C1741">
        <v>45</v>
      </c>
      <c r="D1741" t="s">
        <v>1328</v>
      </c>
      <c r="E1741" t="s">
        <v>1371</v>
      </c>
      <c r="F1741" t="s">
        <v>1342</v>
      </c>
      <c r="G1741">
        <v>9527940772</v>
      </c>
    </row>
    <row r="1742" spans="1:7" x14ac:dyDescent="0.3">
      <c r="A1742" t="s">
        <v>537</v>
      </c>
      <c r="B1742" t="s">
        <v>4310</v>
      </c>
      <c r="C1742">
        <v>39</v>
      </c>
      <c r="D1742" t="s">
        <v>1328</v>
      </c>
      <c r="E1742" t="s">
        <v>1329</v>
      </c>
      <c r="F1742" t="s">
        <v>1330</v>
      </c>
      <c r="G1742">
        <v>8355489494</v>
      </c>
    </row>
    <row r="1743" spans="1:7" x14ac:dyDescent="0.3">
      <c r="A1743" t="s">
        <v>4311</v>
      </c>
      <c r="B1743" t="s">
        <v>4312</v>
      </c>
      <c r="C1743">
        <v>56</v>
      </c>
      <c r="D1743" t="s">
        <v>1336</v>
      </c>
      <c r="E1743" t="s">
        <v>1511</v>
      </c>
      <c r="F1743" t="s">
        <v>1419</v>
      </c>
      <c r="G1743">
        <v>6000238790</v>
      </c>
    </row>
    <row r="1744" spans="1:7" x14ac:dyDescent="0.3">
      <c r="A1744" t="s">
        <v>4313</v>
      </c>
      <c r="B1744" t="s">
        <v>4314</v>
      </c>
      <c r="C1744">
        <v>38</v>
      </c>
      <c r="D1744" t="s">
        <v>1328</v>
      </c>
      <c r="E1744" t="s">
        <v>1478</v>
      </c>
      <c r="F1744" t="s">
        <v>1391</v>
      </c>
      <c r="G1744">
        <v>8333544124</v>
      </c>
    </row>
    <row r="1745" spans="1:7" x14ac:dyDescent="0.3">
      <c r="A1745" t="s">
        <v>4315</v>
      </c>
      <c r="B1745" t="s">
        <v>4316</v>
      </c>
      <c r="C1745">
        <v>37</v>
      </c>
      <c r="D1745" t="s">
        <v>1336</v>
      </c>
      <c r="E1745" t="s">
        <v>1456</v>
      </c>
      <c r="F1745" t="s">
        <v>1394</v>
      </c>
      <c r="G1745">
        <v>7088283940</v>
      </c>
    </row>
    <row r="1746" spans="1:7" x14ac:dyDescent="0.3">
      <c r="A1746" t="s">
        <v>4317</v>
      </c>
      <c r="B1746" t="s">
        <v>4318</v>
      </c>
      <c r="C1746">
        <v>38</v>
      </c>
      <c r="D1746" t="s">
        <v>1328</v>
      </c>
      <c r="E1746" t="s">
        <v>1365</v>
      </c>
      <c r="F1746" t="s">
        <v>1352</v>
      </c>
      <c r="G1746">
        <v>6402827495</v>
      </c>
    </row>
    <row r="1747" spans="1:7" x14ac:dyDescent="0.3">
      <c r="A1747" t="s">
        <v>4319</v>
      </c>
      <c r="B1747" t="s">
        <v>4320</v>
      </c>
      <c r="C1747">
        <v>40</v>
      </c>
      <c r="D1747" t="s">
        <v>1336</v>
      </c>
      <c r="E1747" t="s">
        <v>1355</v>
      </c>
      <c r="F1747" t="s">
        <v>1356</v>
      </c>
      <c r="G1747">
        <v>9356393278</v>
      </c>
    </row>
    <row r="1748" spans="1:7" x14ac:dyDescent="0.3">
      <c r="A1748" t="s">
        <v>4321</v>
      </c>
      <c r="B1748" t="s">
        <v>4322</v>
      </c>
      <c r="C1748">
        <v>38</v>
      </c>
      <c r="D1748" t="s">
        <v>1328</v>
      </c>
      <c r="E1748" t="s">
        <v>1388</v>
      </c>
      <c r="F1748" t="s">
        <v>1342</v>
      </c>
      <c r="G1748">
        <v>6539316989</v>
      </c>
    </row>
    <row r="1749" spans="1:7" x14ac:dyDescent="0.3">
      <c r="A1749" t="s">
        <v>4323</v>
      </c>
      <c r="B1749" t="s">
        <v>4324</v>
      </c>
      <c r="C1749">
        <v>36</v>
      </c>
      <c r="D1749" t="s">
        <v>1336</v>
      </c>
      <c r="E1749" t="s">
        <v>1475</v>
      </c>
      <c r="F1749" t="s">
        <v>1419</v>
      </c>
      <c r="G1749">
        <v>6927465256</v>
      </c>
    </row>
    <row r="1750" spans="1:7" x14ac:dyDescent="0.3">
      <c r="A1750" t="s">
        <v>1286</v>
      </c>
      <c r="B1750" t="s">
        <v>4325</v>
      </c>
      <c r="C1750">
        <v>55</v>
      </c>
      <c r="D1750" t="s">
        <v>1328</v>
      </c>
      <c r="E1750" t="s">
        <v>1556</v>
      </c>
      <c r="F1750" t="s">
        <v>1333</v>
      </c>
      <c r="G1750">
        <v>7859974729</v>
      </c>
    </row>
    <row r="1751" spans="1:7" x14ac:dyDescent="0.3">
      <c r="A1751" t="s">
        <v>938</v>
      </c>
      <c r="B1751" t="s">
        <v>4326</v>
      </c>
      <c r="C1751">
        <v>22</v>
      </c>
      <c r="D1751" t="s">
        <v>1336</v>
      </c>
      <c r="E1751" t="s">
        <v>1432</v>
      </c>
      <c r="F1751" t="s">
        <v>1342</v>
      </c>
      <c r="G1751">
        <v>8381840506</v>
      </c>
    </row>
    <row r="1752" spans="1:7" x14ac:dyDescent="0.3">
      <c r="A1752" t="s">
        <v>956</v>
      </c>
      <c r="B1752" t="s">
        <v>4327</v>
      </c>
      <c r="C1752">
        <v>23</v>
      </c>
      <c r="D1752" t="s">
        <v>1328</v>
      </c>
      <c r="E1752" t="s">
        <v>1770</v>
      </c>
      <c r="F1752" t="s">
        <v>1400</v>
      </c>
      <c r="G1752">
        <v>9402352643</v>
      </c>
    </row>
    <row r="1753" spans="1:7" x14ac:dyDescent="0.3">
      <c r="A1753" t="s">
        <v>4328</v>
      </c>
      <c r="B1753" t="s">
        <v>1490</v>
      </c>
      <c r="C1753">
        <v>23</v>
      </c>
      <c r="D1753" t="s">
        <v>1336</v>
      </c>
      <c r="E1753" t="s">
        <v>1845</v>
      </c>
      <c r="F1753" t="s">
        <v>1330</v>
      </c>
      <c r="G1753">
        <v>9448119172</v>
      </c>
    </row>
    <row r="1754" spans="1:7" x14ac:dyDescent="0.3">
      <c r="A1754" t="s">
        <v>4329</v>
      </c>
      <c r="B1754" t="s">
        <v>4330</v>
      </c>
      <c r="C1754">
        <v>20</v>
      </c>
      <c r="D1754" t="s">
        <v>1328</v>
      </c>
      <c r="E1754" t="s">
        <v>1466</v>
      </c>
      <c r="F1754" t="s">
        <v>1338</v>
      </c>
      <c r="G1754">
        <v>8384917156</v>
      </c>
    </row>
    <row r="1755" spans="1:7" x14ac:dyDescent="0.3">
      <c r="A1755" t="s">
        <v>4331</v>
      </c>
      <c r="B1755" t="s">
        <v>4332</v>
      </c>
      <c r="C1755">
        <v>19</v>
      </c>
      <c r="D1755" t="s">
        <v>1328</v>
      </c>
      <c r="E1755" t="s">
        <v>1422</v>
      </c>
      <c r="F1755" t="s">
        <v>1330</v>
      </c>
      <c r="G1755">
        <v>7400575894</v>
      </c>
    </row>
    <row r="1756" spans="1:7" x14ac:dyDescent="0.3">
      <c r="A1756" t="s">
        <v>4333</v>
      </c>
      <c r="B1756" t="s">
        <v>4334</v>
      </c>
      <c r="C1756">
        <v>36</v>
      </c>
      <c r="D1756" t="s">
        <v>1336</v>
      </c>
      <c r="E1756" t="s">
        <v>1845</v>
      </c>
      <c r="F1756" t="s">
        <v>1330</v>
      </c>
      <c r="G1756">
        <v>9174326453</v>
      </c>
    </row>
    <row r="1757" spans="1:7" x14ac:dyDescent="0.3">
      <c r="A1757" t="s">
        <v>247</v>
      </c>
      <c r="B1757" t="s">
        <v>4335</v>
      </c>
      <c r="C1757">
        <v>26</v>
      </c>
      <c r="D1757" t="s">
        <v>1328</v>
      </c>
      <c r="E1757" t="s">
        <v>1501</v>
      </c>
      <c r="F1757" t="s">
        <v>1394</v>
      </c>
      <c r="G1757">
        <v>6018287761</v>
      </c>
    </row>
    <row r="1758" spans="1:7" x14ac:dyDescent="0.3">
      <c r="A1758" t="s">
        <v>1076</v>
      </c>
      <c r="B1758" t="s">
        <v>4336</v>
      </c>
      <c r="C1758">
        <v>49</v>
      </c>
      <c r="D1758" t="s">
        <v>1328</v>
      </c>
      <c r="E1758" t="s">
        <v>1747</v>
      </c>
      <c r="F1758" t="s">
        <v>1391</v>
      </c>
      <c r="G1758">
        <v>8358632968</v>
      </c>
    </row>
    <row r="1759" spans="1:7" x14ac:dyDescent="0.3">
      <c r="A1759" t="s">
        <v>4337</v>
      </c>
      <c r="B1759" t="s">
        <v>4338</v>
      </c>
      <c r="C1759">
        <v>37</v>
      </c>
      <c r="D1759" t="s">
        <v>1328</v>
      </c>
      <c r="E1759" t="s">
        <v>1563</v>
      </c>
      <c r="F1759" t="s">
        <v>1356</v>
      </c>
      <c r="G1759">
        <v>7680339321</v>
      </c>
    </row>
    <row r="1760" spans="1:7" x14ac:dyDescent="0.3">
      <c r="A1760" t="s">
        <v>63</v>
      </c>
      <c r="B1760" t="s">
        <v>4339</v>
      </c>
      <c r="C1760">
        <v>35</v>
      </c>
      <c r="D1760" t="s">
        <v>1328</v>
      </c>
      <c r="E1760" t="s">
        <v>1374</v>
      </c>
      <c r="F1760" t="s">
        <v>1348</v>
      </c>
      <c r="G1760">
        <v>6772725778</v>
      </c>
    </row>
    <row r="1761" spans="1:7" x14ac:dyDescent="0.3">
      <c r="A1761" t="s">
        <v>4340</v>
      </c>
      <c r="B1761" t="s">
        <v>4341</v>
      </c>
      <c r="C1761">
        <v>21</v>
      </c>
      <c r="D1761" t="s">
        <v>1336</v>
      </c>
      <c r="E1761" t="s">
        <v>1332</v>
      </c>
      <c r="F1761" t="s">
        <v>1333</v>
      </c>
      <c r="G1761">
        <v>9400545881</v>
      </c>
    </row>
    <row r="1762" spans="1:7" x14ac:dyDescent="0.3">
      <c r="A1762" t="s">
        <v>4342</v>
      </c>
      <c r="B1762" t="s">
        <v>4343</v>
      </c>
      <c r="C1762">
        <v>22</v>
      </c>
      <c r="D1762" t="s">
        <v>1328</v>
      </c>
      <c r="E1762" t="s">
        <v>1432</v>
      </c>
      <c r="F1762" t="s">
        <v>1342</v>
      </c>
      <c r="G1762">
        <v>9294212210</v>
      </c>
    </row>
    <row r="1763" spans="1:7" x14ac:dyDescent="0.3">
      <c r="A1763" t="s">
        <v>4344</v>
      </c>
      <c r="B1763" t="s">
        <v>4345</v>
      </c>
      <c r="C1763">
        <v>35</v>
      </c>
      <c r="D1763" t="s">
        <v>1336</v>
      </c>
      <c r="E1763" t="s">
        <v>1413</v>
      </c>
      <c r="F1763" t="s">
        <v>1348</v>
      </c>
      <c r="G1763">
        <v>6521849782</v>
      </c>
    </row>
    <row r="1764" spans="1:7" x14ac:dyDescent="0.3">
      <c r="A1764" t="s">
        <v>4346</v>
      </c>
      <c r="B1764" t="s">
        <v>4347</v>
      </c>
      <c r="C1764">
        <v>55</v>
      </c>
      <c r="D1764" t="s">
        <v>1328</v>
      </c>
      <c r="E1764" t="s">
        <v>1599</v>
      </c>
      <c r="F1764" t="s">
        <v>1400</v>
      </c>
      <c r="G1764">
        <v>7489431121</v>
      </c>
    </row>
    <row r="1765" spans="1:7" x14ac:dyDescent="0.3">
      <c r="A1765" t="s">
        <v>4348</v>
      </c>
      <c r="B1765" t="s">
        <v>4349</v>
      </c>
      <c r="C1765">
        <v>30</v>
      </c>
      <c r="D1765" t="s">
        <v>1328</v>
      </c>
      <c r="E1765" t="s">
        <v>1411</v>
      </c>
      <c r="F1765" t="s">
        <v>1356</v>
      </c>
      <c r="G1765">
        <v>7155353858</v>
      </c>
    </row>
    <row r="1766" spans="1:7" x14ac:dyDescent="0.3">
      <c r="A1766" t="s">
        <v>4350</v>
      </c>
      <c r="B1766" t="s">
        <v>4351</v>
      </c>
      <c r="C1766">
        <v>41</v>
      </c>
      <c r="D1766" t="s">
        <v>1328</v>
      </c>
      <c r="E1766" t="s">
        <v>1649</v>
      </c>
      <c r="F1766" t="s">
        <v>1391</v>
      </c>
      <c r="G1766">
        <v>6659501632</v>
      </c>
    </row>
    <row r="1767" spans="1:7" x14ac:dyDescent="0.3">
      <c r="A1767" t="s">
        <v>4352</v>
      </c>
      <c r="B1767" t="s">
        <v>4353</v>
      </c>
      <c r="C1767">
        <v>33</v>
      </c>
      <c r="D1767" t="s">
        <v>1328</v>
      </c>
      <c r="E1767" t="s">
        <v>1337</v>
      </c>
      <c r="F1767" t="s">
        <v>1338</v>
      </c>
      <c r="G1767">
        <v>7186698178</v>
      </c>
    </row>
    <row r="1768" spans="1:7" x14ac:dyDescent="0.3">
      <c r="A1768" t="s">
        <v>4354</v>
      </c>
      <c r="B1768" t="s">
        <v>4355</v>
      </c>
      <c r="C1768">
        <v>39</v>
      </c>
      <c r="D1768" t="s">
        <v>1328</v>
      </c>
      <c r="E1768" t="s">
        <v>1599</v>
      </c>
      <c r="F1768" t="s">
        <v>1400</v>
      </c>
      <c r="G1768">
        <v>8384992161</v>
      </c>
    </row>
    <row r="1769" spans="1:7" x14ac:dyDescent="0.3">
      <c r="A1769" t="s">
        <v>4356</v>
      </c>
      <c r="B1769" t="s">
        <v>4357</v>
      </c>
      <c r="C1769">
        <v>32</v>
      </c>
      <c r="D1769" t="s">
        <v>1336</v>
      </c>
      <c r="E1769" t="s">
        <v>1438</v>
      </c>
      <c r="F1769" t="s">
        <v>1419</v>
      </c>
      <c r="G1769">
        <v>8142128384</v>
      </c>
    </row>
    <row r="1770" spans="1:7" x14ac:dyDescent="0.3">
      <c r="A1770" t="s">
        <v>4358</v>
      </c>
      <c r="B1770" t="s">
        <v>4359</v>
      </c>
      <c r="C1770">
        <v>38</v>
      </c>
      <c r="D1770" t="s">
        <v>1336</v>
      </c>
      <c r="E1770" t="s">
        <v>1430</v>
      </c>
      <c r="F1770" t="s">
        <v>1330</v>
      </c>
      <c r="G1770">
        <v>6454119763</v>
      </c>
    </row>
    <row r="1771" spans="1:7" x14ac:dyDescent="0.3">
      <c r="A1771" t="s">
        <v>4360</v>
      </c>
      <c r="B1771" t="s">
        <v>4361</v>
      </c>
      <c r="C1771">
        <v>31</v>
      </c>
      <c r="D1771" t="s">
        <v>1336</v>
      </c>
      <c r="E1771" t="s">
        <v>1345</v>
      </c>
      <c r="F1771" t="s">
        <v>1330</v>
      </c>
      <c r="G1771">
        <v>7857874790</v>
      </c>
    </row>
    <row r="1772" spans="1:7" x14ac:dyDescent="0.3">
      <c r="A1772" t="s">
        <v>861</v>
      </c>
      <c r="B1772" t="s">
        <v>4362</v>
      </c>
      <c r="C1772">
        <v>34</v>
      </c>
      <c r="D1772" t="s">
        <v>1328</v>
      </c>
      <c r="E1772" t="s">
        <v>1351</v>
      </c>
      <c r="F1772" t="s">
        <v>1352</v>
      </c>
      <c r="G1772">
        <v>7557535308</v>
      </c>
    </row>
    <row r="1773" spans="1:7" x14ac:dyDescent="0.3">
      <c r="A1773" t="s">
        <v>4363</v>
      </c>
      <c r="B1773" t="s">
        <v>4364</v>
      </c>
      <c r="C1773">
        <v>34</v>
      </c>
      <c r="D1773" t="s">
        <v>1336</v>
      </c>
      <c r="E1773" t="s">
        <v>1475</v>
      </c>
      <c r="F1773" t="s">
        <v>1419</v>
      </c>
      <c r="G1773">
        <v>7423471682</v>
      </c>
    </row>
    <row r="1774" spans="1:7" x14ac:dyDescent="0.3">
      <c r="A1774" t="s">
        <v>1256</v>
      </c>
      <c r="B1774" t="s">
        <v>4365</v>
      </c>
      <c r="C1774">
        <v>41</v>
      </c>
      <c r="D1774" t="s">
        <v>1328</v>
      </c>
      <c r="E1774" t="s">
        <v>1345</v>
      </c>
      <c r="F1774" t="s">
        <v>1330</v>
      </c>
      <c r="G1774">
        <v>6173871655</v>
      </c>
    </row>
    <row r="1775" spans="1:7" x14ac:dyDescent="0.3">
      <c r="A1775" t="s">
        <v>1310</v>
      </c>
      <c r="B1775" t="s">
        <v>4366</v>
      </c>
      <c r="C1775">
        <v>54</v>
      </c>
      <c r="D1775" t="s">
        <v>1328</v>
      </c>
      <c r="E1775" t="s">
        <v>1403</v>
      </c>
      <c r="F1775" t="s">
        <v>1362</v>
      </c>
      <c r="G1775">
        <v>7029814805</v>
      </c>
    </row>
    <row r="1776" spans="1:7" x14ac:dyDescent="0.3">
      <c r="A1776" t="s">
        <v>4367</v>
      </c>
      <c r="B1776" t="s">
        <v>4368</v>
      </c>
      <c r="C1776">
        <v>41</v>
      </c>
      <c r="D1776" t="s">
        <v>1328</v>
      </c>
      <c r="E1776" t="s">
        <v>1832</v>
      </c>
      <c r="F1776" t="s">
        <v>1368</v>
      </c>
      <c r="G1776">
        <v>6802867810</v>
      </c>
    </row>
    <row r="1777" spans="1:7" x14ac:dyDescent="0.3">
      <c r="A1777" t="s">
        <v>4369</v>
      </c>
      <c r="B1777" t="s">
        <v>4370</v>
      </c>
      <c r="C1777">
        <v>33</v>
      </c>
      <c r="D1777" t="s">
        <v>1336</v>
      </c>
      <c r="E1777" t="s">
        <v>1441</v>
      </c>
      <c r="F1777" t="s">
        <v>1394</v>
      </c>
      <c r="G1777">
        <v>7883578007</v>
      </c>
    </row>
    <row r="1778" spans="1:7" x14ac:dyDescent="0.3">
      <c r="A1778" t="s">
        <v>4371</v>
      </c>
      <c r="B1778" t="s">
        <v>4372</v>
      </c>
      <c r="C1778">
        <v>49</v>
      </c>
      <c r="D1778" t="s">
        <v>1336</v>
      </c>
      <c r="E1778" t="s">
        <v>1397</v>
      </c>
      <c r="F1778" t="s">
        <v>1333</v>
      </c>
      <c r="G1778">
        <v>9715488293</v>
      </c>
    </row>
    <row r="1779" spans="1:7" x14ac:dyDescent="0.3">
      <c r="A1779" t="s">
        <v>4373</v>
      </c>
      <c r="B1779" t="s">
        <v>4374</v>
      </c>
      <c r="C1779">
        <v>31</v>
      </c>
      <c r="D1779" t="s">
        <v>1336</v>
      </c>
      <c r="E1779" t="s">
        <v>1430</v>
      </c>
      <c r="F1779" t="s">
        <v>1330</v>
      </c>
      <c r="G1779">
        <v>9595060316</v>
      </c>
    </row>
    <row r="1780" spans="1:7" x14ac:dyDescent="0.3">
      <c r="A1780" t="s">
        <v>4375</v>
      </c>
      <c r="B1780" t="s">
        <v>4376</v>
      </c>
      <c r="C1780">
        <v>60</v>
      </c>
      <c r="D1780" t="s">
        <v>1336</v>
      </c>
      <c r="E1780" t="s">
        <v>1332</v>
      </c>
      <c r="F1780" t="s">
        <v>1333</v>
      </c>
      <c r="G1780">
        <v>7837636902</v>
      </c>
    </row>
    <row r="1781" spans="1:7" x14ac:dyDescent="0.3">
      <c r="A1781" t="s">
        <v>1284</v>
      </c>
      <c r="B1781" t="s">
        <v>4377</v>
      </c>
      <c r="C1781">
        <v>22</v>
      </c>
      <c r="D1781" t="s">
        <v>1328</v>
      </c>
      <c r="E1781" t="s">
        <v>1351</v>
      </c>
      <c r="F1781" t="s">
        <v>1352</v>
      </c>
      <c r="G1781">
        <v>7650081607</v>
      </c>
    </row>
    <row r="1782" spans="1:7" x14ac:dyDescent="0.3">
      <c r="A1782" t="s">
        <v>4378</v>
      </c>
      <c r="B1782" t="s">
        <v>4379</v>
      </c>
      <c r="C1782">
        <v>19</v>
      </c>
      <c r="D1782" t="s">
        <v>1328</v>
      </c>
      <c r="E1782" t="s">
        <v>1355</v>
      </c>
      <c r="F1782" t="s">
        <v>1356</v>
      </c>
      <c r="G1782">
        <v>8713260182</v>
      </c>
    </row>
    <row r="1783" spans="1:7" x14ac:dyDescent="0.3">
      <c r="A1783" t="s">
        <v>4380</v>
      </c>
      <c r="B1783" t="s">
        <v>4381</v>
      </c>
      <c r="C1783">
        <v>65</v>
      </c>
      <c r="D1783" t="s">
        <v>1328</v>
      </c>
      <c r="E1783" t="s">
        <v>1332</v>
      </c>
      <c r="F1783" t="s">
        <v>1333</v>
      </c>
      <c r="G1783">
        <v>9569630708</v>
      </c>
    </row>
    <row r="1784" spans="1:7" x14ac:dyDescent="0.3">
      <c r="A1784" t="s">
        <v>4382</v>
      </c>
      <c r="B1784" t="s">
        <v>4383</v>
      </c>
      <c r="C1784">
        <v>50</v>
      </c>
      <c r="D1784" t="s">
        <v>1328</v>
      </c>
      <c r="E1784" t="s">
        <v>1425</v>
      </c>
      <c r="F1784" t="s">
        <v>1409</v>
      </c>
      <c r="G1784">
        <v>7603396194</v>
      </c>
    </row>
    <row r="1785" spans="1:7" x14ac:dyDescent="0.3">
      <c r="A1785" t="s">
        <v>1024</v>
      </c>
      <c r="B1785" t="s">
        <v>4384</v>
      </c>
      <c r="C1785">
        <v>29</v>
      </c>
      <c r="D1785" t="s">
        <v>1328</v>
      </c>
      <c r="E1785" t="s">
        <v>1418</v>
      </c>
      <c r="F1785" t="s">
        <v>1419</v>
      </c>
      <c r="G1785">
        <v>7929403230</v>
      </c>
    </row>
    <row r="1786" spans="1:7" x14ac:dyDescent="0.3">
      <c r="A1786" t="s">
        <v>4385</v>
      </c>
      <c r="B1786" t="s">
        <v>4386</v>
      </c>
      <c r="C1786">
        <v>26</v>
      </c>
      <c r="D1786" t="s">
        <v>1328</v>
      </c>
      <c r="E1786" t="s">
        <v>1815</v>
      </c>
      <c r="F1786" t="s">
        <v>1400</v>
      </c>
      <c r="G1786">
        <v>6051938960</v>
      </c>
    </row>
    <row r="1787" spans="1:7" x14ac:dyDescent="0.3">
      <c r="A1787" t="s">
        <v>688</v>
      </c>
      <c r="B1787" t="s">
        <v>4387</v>
      </c>
      <c r="C1787">
        <v>52</v>
      </c>
      <c r="D1787" t="s">
        <v>1328</v>
      </c>
      <c r="E1787" t="s">
        <v>1466</v>
      </c>
      <c r="F1787" t="s">
        <v>1338</v>
      </c>
      <c r="G1787">
        <v>6727922675</v>
      </c>
    </row>
    <row r="1788" spans="1:7" x14ac:dyDescent="0.3">
      <c r="A1788" t="s">
        <v>4388</v>
      </c>
      <c r="B1788" t="s">
        <v>4389</v>
      </c>
      <c r="C1788">
        <v>53</v>
      </c>
      <c r="D1788" t="s">
        <v>1336</v>
      </c>
      <c r="E1788" t="s">
        <v>1397</v>
      </c>
      <c r="F1788" t="s">
        <v>1333</v>
      </c>
      <c r="G1788">
        <v>6124059058</v>
      </c>
    </row>
    <row r="1789" spans="1:7" x14ac:dyDescent="0.3">
      <c r="A1789" t="s">
        <v>4390</v>
      </c>
      <c r="B1789" t="s">
        <v>4391</v>
      </c>
      <c r="C1789">
        <v>55</v>
      </c>
      <c r="D1789" t="s">
        <v>1336</v>
      </c>
      <c r="E1789" t="s">
        <v>1556</v>
      </c>
      <c r="F1789" t="s">
        <v>1333</v>
      </c>
      <c r="G1789">
        <v>9805355066</v>
      </c>
    </row>
    <row r="1790" spans="1:7" x14ac:dyDescent="0.3">
      <c r="A1790" t="s">
        <v>388</v>
      </c>
      <c r="B1790" t="s">
        <v>4392</v>
      </c>
      <c r="C1790">
        <v>44</v>
      </c>
      <c r="D1790" t="s">
        <v>1328</v>
      </c>
      <c r="E1790" t="s">
        <v>1377</v>
      </c>
      <c r="F1790" t="s">
        <v>1368</v>
      </c>
      <c r="G1790">
        <v>7969376420</v>
      </c>
    </row>
    <row r="1791" spans="1:7" x14ac:dyDescent="0.3">
      <c r="A1791" t="s">
        <v>4393</v>
      </c>
      <c r="B1791" t="s">
        <v>4394</v>
      </c>
      <c r="C1791">
        <v>25</v>
      </c>
      <c r="D1791" t="s">
        <v>1336</v>
      </c>
      <c r="E1791" t="s">
        <v>1413</v>
      </c>
      <c r="F1791" t="s">
        <v>1348</v>
      </c>
      <c r="G1791">
        <v>9082886763</v>
      </c>
    </row>
    <row r="1792" spans="1:7" x14ac:dyDescent="0.3">
      <c r="A1792" t="s">
        <v>4395</v>
      </c>
      <c r="B1792" t="s">
        <v>4396</v>
      </c>
      <c r="C1792">
        <v>38</v>
      </c>
      <c r="D1792" t="s">
        <v>1336</v>
      </c>
      <c r="E1792" t="s">
        <v>1668</v>
      </c>
      <c r="F1792" t="s">
        <v>1445</v>
      </c>
      <c r="G1792">
        <v>6015000181</v>
      </c>
    </row>
    <row r="1793" spans="1:7" x14ac:dyDescent="0.3">
      <c r="A1793" t="s">
        <v>4397</v>
      </c>
      <c r="B1793" t="s">
        <v>4398</v>
      </c>
      <c r="C1793">
        <v>26</v>
      </c>
      <c r="D1793" t="s">
        <v>1336</v>
      </c>
      <c r="E1793" t="s">
        <v>1441</v>
      </c>
      <c r="F1793" t="s">
        <v>1394</v>
      </c>
      <c r="G1793">
        <v>6058510903</v>
      </c>
    </row>
    <row r="1794" spans="1:7" x14ac:dyDescent="0.3">
      <c r="A1794" t="s">
        <v>4399</v>
      </c>
      <c r="B1794" t="s">
        <v>4400</v>
      </c>
      <c r="C1794">
        <v>58</v>
      </c>
      <c r="D1794" t="s">
        <v>1336</v>
      </c>
      <c r="E1794" t="s">
        <v>1337</v>
      </c>
      <c r="F1794" t="s">
        <v>1338</v>
      </c>
      <c r="G1794">
        <v>9385203208</v>
      </c>
    </row>
    <row r="1795" spans="1:7" x14ac:dyDescent="0.3">
      <c r="A1795" t="s">
        <v>4401</v>
      </c>
      <c r="B1795" t="s">
        <v>4402</v>
      </c>
      <c r="C1795">
        <v>47</v>
      </c>
      <c r="D1795" t="s">
        <v>1328</v>
      </c>
      <c r="E1795" t="s">
        <v>1432</v>
      </c>
      <c r="F1795" t="s">
        <v>1342</v>
      </c>
      <c r="G1795">
        <v>7331002814</v>
      </c>
    </row>
    <row r="1796" spans="1:7" x14ac:dyDescent="0.3">
      <c r="A1796" t="s">
        <v>4403</v>
      </c>
      <c r="B1796" t="s">
        <v>4404</v>
      </c>
      <c r="C1796">
        <v>32</v>
      </c>
      <c r="D1796" t="s">
        <v>1336</v>
      </c>
      <c r="E1796" t="s">
        <v>1337</v>
      </c>
      <c r="F1796" t="s">
        <v>1338</v>
      </c>
      <c r="G1796">
        <v>9158853308</v>
      </c>
    </row>
    <row r="1797" spans="1:7" x14ac:dyDescent="0.3">
      <c r="A1797" t="s">
        <v>763</v>
      </c>
      <c r="B1797" t="s">
        <v>4405</v>
      </c>
      <c r="C1797">
        <v>20</v>
      </c>
      <c r="D1797" t="s">
        <v>1336</v>
      </c>
      <c r="E1797" t="s">
        <v>1411</v>
      </c>
      <c r="F1797" t="s">
        <v>1356</v>
      </c>
      <c r="G1797">
        <v>7581541446</v>
      </c>
    </row>
    <row r="1798" spans="1:7" x14ac:dyDescent="0.3">
      <c r="A1798" t="s">
        <v>1214</v>
      </c>
      <c r="B1798" t="s">
        <v>4406</v>
      </c>
      <c r="C1798">
        <v>59</v>
      </c>
      <c r="D1798" t="s">
        <v>1336</v>
      </c>
      <c r="E1798" t="s">
        <v>1332</v>
      </c>
      <c r="F1798" t="s">
        <v>1333</v>
      </c>
      <c r="G1798">
        <v>7725765936</v>
      </c>
    </row>
    <row r="1799" spans="1:7" x14ac:dyDescent="0.3">
      <c r="A1799" t="s">
        <v>4407</v>
      </c>
      <c r="B1799" t="s">
        <v>4408</v>
      </c>
      <c r="C1799">
        <v>27</v>
      </c>
      <c r="D1799" t="s">
        <v>1328</v>
      </c>
      <c r="E1799" t="s">
        <v>1498</v>
      </c>
      <c r="F1799" t="s">
        <v>1362</v>
      </c>
      <c r="G1799">
        <v>6346069753</v>
      </c>
    </row>
    <row r="1800" spans="1:7" x14ac:dyDescent="0.3">
      <c r="A1800" t="s">
        <v>91</v>
      </c>
      <c r="B1800" t="s">
        <v>4409</v>
      </c>
      <c r="C1800">
        <v>34</v>
      </c>
      <c r="D1800" t="s">
        <v>1336</v>
      </c>
      <c r="E1800" t="s">
        <v>1386</v>
      </c>
      <c r="F1800" t="s">
        <v>1338</v>
      </c>
      <c r="G1800">
        <v>7741605761</v>
      </c>
    </row>
    <row r="1801" spans="1:7" x14ac:dyDescent="0.3">
      <c r="A1801" t="s">
        <v>4410</v>
      </c>
      <c r="B1801" t="s">
        <v>4411</v>
      </c>
      <c r="C1801">
        <v>42</v>
      </c>
      <c r="D1801" t="s">
        <v>1328</v>
      </c>
      <c r="E1801" t="s">
        <v>1393</v>
      </c>
      <c r="F1801" t="s">
        <v>1394</v>
      </c>
      <c r="G1801">
        <v>8906835192</v>
      </c>
    </row>
    <row r="1802" spans="1:7" x14ac:dyDescent="0.3">
      <c r="A1802" t="s">
        <v>908</v>
      </c>
      <c r="B1802" t="s">
        <v>4412</v>
      </c>
      <c r="C1802">
        <v>57</v>
      </c>
      <c r="D1802" t="s">
        <v>1336</v>
      </c>
      <c r="E1802" t="s">
        <v>1511</v>
      </c>
      <c r="F1802" t="s">
        <v>1419</v>
      </c>
      <c r="G1802">
        <v>8307315633</v>
      </c>
    </row>
    <row r="1803" spans="1:7" x14ac:dyDescent="0.3">
      <c r="A1803" t="s">
        <v>568</v>
      </c>
      <c r="B1803" t="s">
        <v>4413</v>
      </c>
      <c r="C1803">
        <v>21</v>
      </c>
      <c r="D1803" t="s">
        <v>1336</v>
      </c>
      <c r="E1803" t="s">
        <v>1517</v>
      </c>
      <c r="F1803" t="s">
        <v>1362</v>
      </c>
      <c r="G1803">
        <v>9920594435</v>
      </c>
    </row>
    <row r="1804" spans="1:7" x14ac:dyDescent="0.3">
      <c r="A1804" t="s">
        <v>4414</v>
      </c>
      <c r="B1804" t="s">
        <v>4415</v>
      </c>
      <c r="C1804">
        <v>38</v>
      </c>
      <c r="D1804" t="s">
        <v>1328</v>
      </c>
      <c r="E1804" t="s">
        <v>1713</v>
      </c>
      <c r="F1804" t="s">
        <v>1409</v>
      </c>
      <c r="G1804">
        <v>6617336670</v>
      </c>
    </row>
    <row r="1805" spans="1:7" x14ac:dyDescent="0.3">
      <c r="A1805" t="s">
        <v>906</v>
      </c>
      <c r="B1805" t="s">
        <v>4416</v>
      </c>
      <c r="C1805">
        <v>60</v>
      </c>
      <c r="D1805" t="s">
        <v>1328</v>
      </c>
      <c r="E1805" t="s">
        <v>1377</v>
      </c>
      <c r="F1805" t="s">
        <v>1368</v>
      </c>
      <c r="G1805">
        <v>9447787282</v>
      </c>
    </row>
    <row r="1806" spans="1:7" x14ac:dyDescent="0.3">
      <c r="A1806" t="s">
        <v>4417</v>
      </c>
      <c r="B1806" t="s">
        <v>4418</v>
      </c>
      <c r="C1806">
        <v>39</v>
      </c>
      <c r="D1806" t="s">
        <v>1328</v>
      </c>
      <c r="E1806" t="s">
        <v>1403</v>
      </c>
      <c r="F1806" t="s">
        <v>1362</v>
      </c>
      <c r="G1806">
        <v>9219285215</v>
      </c>
    </row>
    <row r="1807" spans="1:7" x14ac:dyDescent="0.3">
      <c r="A1807" t="s">
        <v>4419</v>
      </c>
      <c r="B1807" t="s">
        <v>4420</v>
      </c>
      <c r="C1807">
        <v>54</v>
      </c>
      <c r="D1807" t="s">
        <v>1336</v>
      </c>
      <c r="E1807" t="s">
        <v>1441</v>
      </c>
      <c r="F1807" t="s">
        <v>1394</v>
      </c>
      <c r="G1807">
        <v>8647649893</v>
      </c>
    </row>
    <row r="1808" spans="1:7" x14ac:dyDescent="0.3">
      <c r="A1808" t="s">
        <v>4421</v>
      </c>
      <c r="B1808" t="s">
        <v>4422</v>
      </c>
      <c r="C1808">
        <v>20</v>
      </c>
      <c r="D1808" t="s">
        <v>1328</v>
      </c>
      <c r="E1808" t="s">
        <v>1397</v>
      </c>
      <c r="F1808" t="s">
        <v>1333</v>
      </c>
      <c r="G1808">
        <v>8313586429</v>
      </c>
    </row>
    <row r="1809" spans="1:7" x14ac:dyDescent="0.3">
      <c r="A1809" t="s">
        <v>4423</v>
      </c>
      <c r="B1809" t="s">
        <v>4424</v>
      </c>
      <c r="C1809">
        <v>21</v>
      </c>
      <c r="D1809" t="s">
        <v>1336</v>
      </c>
      <c r="E1809" t="s">
        <v>1517</v>
      </c>
      <c r="F1809" t="s">
        <v>1362</v>
      </c>
      <c r="G1809">
        <v>9249848104</v>
      </c>
    </row>
    <row r="1810" spans="1:7" x14ac:dyDescent="0.3">
      <c r="A1810" t="s">
        <v>4425</v>
      </c>
      <c r="B1810" t="s">
        <v>4426</v>
      </c>
      <c r="C1810">
        <v>32</v>
      </c>
      <c r="D1810" t="s">
        <v>1328</v>
      </c>
      <c r="E1810" t="s">
        <v>1451</v>
      </c>
      <c r="F1810" t="s">
        <v>1445</v>
      </c>
      <c r="G1810">
        <v>8917794201</v>
      </c>
    </row>
    <row r="1811" spans="1:7" x14ac:dyDescent="0.3">
      <c r="A1811" t="s">
        <v>4427</v>
      </c>
      <c r="B1811" t="s">
        <v>4428</v>
      </c>
      <c r="C1811">
        <v>35</v>
      </c>
      <c r="D1811" t="s">
        <v>1336</v>
      </c>
      <c r="E1811" t="s">
        <v>1655</v>
      </c>
      <c r="F1811" t="s">
        <v>1409</v>
      </c>
      <c r="G1811">
        <v>7939183347</v>
      </c>
    </row>
    <row r="1812" spans="1:7" x14ac:dyDescent="0.3">
      <c r="A1812" t="s">
        <v>4429</v>
      </c>
      <c r="B1812" t="s">
        <v>4430</v>
      </c>
      <c r="C1812">
        <v>45</v>
      </c>
      <c r="D1812" t="s">
        <v>1336</v>
      </c>
      <c r="E1812" t="s">
        <v>1383</v>
      </c>
      <c r="F1812" t="s">
        <v>1338</v>
      </c>
      <c r="G1812">
        <v>8963028329</v>
      </c>
    </row>
    <row r="1813" spans="1:7" x14ac:dyDescent="0.3">
      <c r="A1813" t="s">
        <v>4431</v>
      </c>
      <c r="B1813" t="s">
        <v>4432</v>
      </c>
      <c r="C1813">
        <v>59</v>
      </c>
      <c r="D1813" t="s">
        <v>1328</v>
      </c>
      <c r="E1813" t="s">
        <v>1386</v>
      </c>
      <c r="F1813" t="s">
        <v>1338</v>
      </c>
      <c r="G1813">
        <v>6070558786</v>
      </c>
    </row>
    <row r="1814" spans="1:7" x14ac:dyDescent="0.3">
      <c r="A1814" t="s">
        <v>4433</v>
      </c>
      <c r="B1814" t="s">
        <v>4434</v>
      </c>
      <c r="C1814">
        <v>21</v>
      </c>
      <c r="D1814" t="s">
        <v>1328</v>
      </c>
      <c r="E1814" t="s">
        <v>1432</v>
      </c>
      <c r="F1814" t="s">
        <v>1342</v>
      </c>
      <c r="G1814">
        <v>6842253080</v>
      </c>
    </row>
    <row r="1815" spans="1:7" x14ac:dyDescent="0.3">
      <c r="A1815" t="s">
        <v>950</v>
      </c>
      <c r="B1815" t="s">
        <v>4435</v>
      </c>
      <c r="C1815">
        <v>52</v>
      </c>
      <c r="D1815" t="s">
        <v>1336</v>
      </c>
      <c r="E1815" t="s">
        <v>1381</v>
      </c>
      <c r="F1815" t="s">
        <v>1352</v>
      </c>
      <c r="G1815">
        <v>9861470708</v>
      </c>
    </row>
    <row r="1816" spans="1:7" x14ac:dyDescent="0.3">
      <c r="A1816" t="s">
        <v>4436</v>
      </c>
      <c r="B1816" t="s">
        <v>4437</v>
      </c>
      <c r="C1816">
        <v>51</v>
      </c>
      <c r="D1816" t="s">
        <v>1328</v>
      </c>
      <c r="E1816" t="s">
        <v>1390</v>
      </c>
      <c r="F1816" t="s">
        <v>1391</v>
      </c>
      <c r="G1816">
        <v>9840784371</v>
      </c>
    </row>
    <row r="1817" spans="1:7" x14ac:dyDescent="0.3">
      <c r="A1817" t="s">
        <v>4438</v>
      </c>
      <c r="B1817" t="s">
        <v>4439</v>
      </c>
      <c r="C1817">
        <v>65</v>
      </c>
      <c r="D1817" t="s">
        <v>1336</v>
      </c>
      <c r="E1817" t="s">
        <v>1438</v>
      </c>
      <c r="F1817" t="s">
        <v>1419</v>
      </c>
      <c r="G1817">
        <v>9138656716</v>
      </c>
    </row>
    <row r="1818" spans="1:7" x14ac:dyDescent="0.3">
      <c r="A1818" t="s">
        <v>472</v>
      </c>
      <c r="B1818" t="s">
        <v>4440</v>
      </c>
      <c r="C1818">
        <v>64</v>
      </c>
      <c r="D1818" t="s">
        <v>1336</v>
      </c>
      <c r="E1818" t="s">
        <v>1365</v>
      </c>
      <c r="F1818" t="s">
        <v>1352</v>
      </c>
      <c r="G1818">
        <v>6599360379</v>
      </c>
    </row>
    <row r="1819" spans="1:7" x14ac:dyDescent="0.3">
      <c r="A1819" t="s">
        <v>4441</v>
      </c>
      <c r="B1819" t="s">
        <v>4442</v>
      </c>
      <c r="C1819">
        <v>39</v>
      </c>
      <c r="D1819" t="s">
        <v>1328</v>
      </c>
      <c r="E1819" t="s">
        <v>1511</v>
      </c>
      <c r="F1819" t="s">
        <v>1419</v>
      </c>
      <c r="G1819">
        <v>9789758261</v>
      </c>
    </row>
    <row r="1820" spans="1:7" x14ac:dyDescent="0.3">
      <c r="A1820" t="s">
        <v>4443</v>
      </c>
      <c r="B1820" t="s">
        <v>4444</v>
      </c>
      <c r="C1820">
        <v>53</v>
      </c>
      <c r="D1820" t="s">
        <v>1328</v>
      </c>
      <c r="E1820" t="s">
        <v>1413</v>
      </c>
      <c r="F1820" t="s">
        <v>1348</v>
      </c>
      <c r="G1820">
        <v>6716356405</v>
      </c>
    </row>
    <row r="1821" spans="1:7" x14ac:dyDescent="0.3">
      <c r="A1821" t="s">
        <v>4445</v>
      </c>
      <c r="B1821" t="s">
        <v>4446</v>
      </c>
      <c r="C1821">
        <v>59</v>
      </c>
      <c r="D1821" t="s">
        <v>1336</v>
      </c>
      <c r="E1821" t="s">
        <v>1413</v>
      </c>
      <c r="F1821" t="s">
        <v>1348</v>
      </c>
      <c r="G1821">
        <v>8705568034</v>
      </c>
    </row>
    <row r="1822" spans="1:7" x14ac:dyDescent="0.3">
      <c r="A1822" t="s">
        <v>249</v>
      </c>
      <c r="B1822" t="s">
        <v>4447</v>
      </c>
      <c r="C1822">
        <v>36</v>
      </c>
      <c r="D1822" t="s">
        <v>1336</v>
      </c>
      <c r="E1822" t="s">
        <v>1355</v>
      </c>
      <c r="F1822" t="s">
        <v>1356</v>
      </c>
      <c r="G1822">
        <v>8325349823</v>
      </c>
    </row>
    <row r="1823" spans="1:7" x14ac:dyDescent="0.3">
      <c r="A1823" t="s">
        <v>4448</v>
      </c>
      <c r="B1823" t="s">
        <v>4449</v>
      </c>
      <c r="C1823">
        <v>18</v>
      </c>
      <c r="D1823" t="s">
        <v>1328</v>
      </c>
      <c r="E1823" t="s">
        <v>1355</v>
      </c>
      <c r="F1823" t="s">
        <v>1356</v>
      </c>
      <c r="G1823">
        <v>8885837633</v>
      </c>
    </row>
    <row r="1824" spans="1:7" x14ac:dyDescent="0.3">
      <c r="A1824" t="s">
        <v>4450</v>
      </c>
      <c r="B1824" t="s">
        <v>4451</v>
      </c>
      <c r="C1824">
        <v>38</v>
      </c>
      <c r="D1824" t="s">
        <v>1336</v>
      </c>
      <c r="E1824" t="s">
        <v>1390</v>
      </c>
      <c r="F1824" t="s">
        <v>1391</v>
      </c>
      <c r="G1824">
        <v>9057973583</v>
      </c>
    </row>
    <row r="1825" spans="1:7" x14ac:dyDescent="0.3">
      <c r="A1825" t="s">
        <v>4452</v>
      </c>
      <c r="B1825" t="s">
        <v>4453</v>
      </c>
      <c r="C1825">
        <v>37</v>
      </c>
      <c r="D1825" t="s">
        <v>1336</v>
      </c>
      <c r="E1825" t="s">
        <v>1399</v>
      </c>
      <c r="F1825" t="s">
        <v>1400</v>
      </c>
      <c r="G1825">
        <v>9101366176</v>
      </c>
    </row>
    <row r="1826" spans="1:7" x14ac:dyDescent="0.3">
      <c r="A1826" t="s">
        <v>4454</v>
      </c>
      <c r="B1826" t="s">
        <v>4455</v>
      </c>
      <c r="C1826">
        <v>39</v>
      </c>
      <c r="D1826" t="s">
        <v>1336</v>
      </c>
      <c r="E1826" t="s">
        <v>1388</v>
      </c>
      <c r="F1826" t="s">
        <v>1342</v>
      </c>
      <c r="G1826">
        <v>6804146581</v>
      </c>
    </row>
    <row r="1827" spans="1:7" x14ac:dyDescent="0.3">
      <c r="A1827" t="s">
        <v>1264</v>
      </c>
      <c r="B1827" t="s">
        <v>4456</v>
      </c>
      <c r="C1827">
        <v>25</v>
      </c>
      <c r="D1827" t="s">
        <v>1336</v>
      </c>
      <c r="E1827" t="s">
        <v>1655</v>
      </c>
      <c r="F1827" t="s">
        <v>1409</v>
      </c>
      <c r="G1827">
        <v>8599684382</v>
      </c>
    </row>
    <row r="1828" spans="1:7" x14ac:dyDescent="0.3">
      <c r="A1828" t="s">
        <v>4457</v>
      </c>
      <c r="B1828" t="s">
        <v>4458</v>
      </c>
      <c r="C1828">
        <v>18</v>
      </c>
      <c r="D1828" t="s">
        <v>1336</v>
      </c>
      <c r="E1828" t="s">
        <v>1466</v>
      </c>
      <c r="F1828" t="s">
        <v>1338</v>
      </c>
      <c r="G1828">
        <v>6200779880</v>
      </c>
    </row>
    <row r="1829" spans="1:7" x14ac:dyDescent="0.3">
      <c r="A1829" t="s">
        <v>251</v>
      </c>
      <c r="B1829" t="s">
        <v>4459</v>
      </c>
      <c r="C1829">
        <v>21</v>
      </c>
      <c r="D1829" t="s">
        <v>1336</v>
      </c>
      <c r="E1829" t="s">
        <v>1397</v>
      </c>
      <c r="F1829" t="s">
        <v>1333</v>
      </c>
      <c r="G1829">
        <v>9996752280</v>
      </c>
    </row>
    <row r="1830" spans="1:7" x14ac:dyDescent="0.3">
      <c r="A1830" t="s">
        <v>225</v>
      </c>
      <c r="B1830" t="s">
        <v>4460</v>
      </c>
      <c r="C1830">
        <v>26</v>
      </c>
      <c r="D1830" t="s">
        <v>1336</v>
      </c>
      <c r="E1830" t="s">
        <v>1332</v>
      </c>
      <c r="F1830" t="s">
        <v>1333</v>
      </c>
      <c r="G1830">
        <v>7132480806</v>
      </c>
    </row>
    <row r="1831" spans="1:7" x14ac:dyDescent="0.3">
      <c r="A1831" t="s">
        <v>4461</v>
      </c>
      <c r="B1831" t="s">
        <v>4462</v>
      </c>
      <c r="C1831">
        <v>38</v>
      </c>
      <c r="D1831" t="s">
        <v>1336</v>
      </c>
      <c r="E1831" t="s">
        <v>1413</v>
      </c>
      <c r="F1831" t="s">
        <v>1348</v>
      </c>
      <c r="G1831">
        <v>8870298222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25295A-A15F-4D56-9B08-B5D41EA8C0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Room_Dataset</vt:lpstr>
      <vt:lpstr>Booking_Dataset_Fact_Table </vt:lpstr>
      <vt:lpstr>Payment_Dataset</vt:lpstr>
      <vt:lpstr>Employee_Dataset</vt:lpstr>
      <vt:lpstr>Customer_Dataset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KUMBHAR</dc:creator>
  <cp:lastModifiedBy>AMOL KUMBHAR</cp:lastModifiedBy>
  <dcterms:created xsi:type="dcterms:W3CDTF">2026-06-30T14:45:30Z</dcterms:created>
  <dcterms:modified xsi:type="dcterms:W3CDTF">2026-07-05T16:25:37Z</dcterms:modified>
</cp:coreProperties>
</file>